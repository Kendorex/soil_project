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55" windowWidth="27495" windowHeight="14250"/>
  </bookViews>
  <sheets>
    <sheet name="Цены" sheetId="1" r:id="rId1"/>
    <sheet name="Удобрения" sheetId="2" r:id="rId2"/>
    <sheet name="Константа C" sheetId="3" r:id="rId3"/>
    <sheet name="Параметры APSIM" sheetId="4" r:id="rId4"/>
    <sheet name="Источники" sheetId="7" r:id="rId5"/>
  </sheets>
  <calcPr calcId="145621"/>
  <fileRecoveryPr repairLoad="1"/>
</workbook>
</file>

<file path=xl/calcChain.xml><?xml version="1.0" encoding="utf-8"?>
<calcChain xmlns="http://schemas.openxmlformats.org/spreadsheetml/2006/main">
  <c r="E13" i="3" l="1"/>
  <c r="D13" i="3"/>
  <c r="C13" i="3"/>
</calcChain>
</file>

<file path=xl/sharedStrings.xml><?xml version="1.0" encoding="utf-8"?>
<sst xmlns="http://schemas.openxmlformats.org/spreadsheetml/2006/main" count="448" uniqueCount="309">
  <si>
    <t>Цены и экономические коэффициенты</t>
  </si>
  <si>
    <t>Синие значения — редактируемые входы. Рыночные позиции и инженерные оценки вынесены отдельно, чтобы сценарий можно было менять без переписывания формул.</t>
  </si>
  <si>
    <t>Группа</t>
  </si>
  <si>
    <t>Обозначение</t>
  </si>
  <si>
    <t>Расшифровка</t>
  </si>
  <si>
    <t>База</t>
  </si>
  <si>
    <t>Единица</t>
  </si>
  <si>
    <t>Минимум</t>
  </si>
  <si>
    <t>Максимум</t>
  </si>
  <si>
    <t>Статус</t>
  </si>
  <si>
    <t>Связь с APSIM</t>
  </si>
  <si>
    <t>Источник</t>
  </si>
  <si>
    <t>Реализация</t>
  </si>
  <si>
    <t>p_g</t>
  </si>
  <si>
    <t>Цена реализации зерна на хозяйстве</t>
  </si>
  <si>
    <t>руб./т</t>
  </si>
  <si>
    <t>Рыночный сценарий</t>
  </si>
  <si>
    <t>Внешний коэффициент</t>
  </si>
  <si>
    <t>https://www.interfax.ru/russia/1093254</t>
  </si>
  <si>
    <t>Побочная продукция</t>
  </si>
  <si>
    <t>p_st</t>
  </si>
  <si>
    <t>Цена реализуемой соломы</t>
  </si>
  <si>
    <t>Рабочая оценка</t>
  </si>
  <si>
    <t>c_st</t>
  </si>
  <si>
    <t>Прессование и сбор соломы</t>
  </si>
  <si>
    <t>Посев</t>
  </si>
  <si>
    <t>p_seed</t>
  </si>
  <si>
    <t>Цена семян зерновых</t>
  </si>
  <si>
    <t>руб./кг</t>
  </si>
  <si>
    <t>Стартовый ориентир</t>
  </si>
  <si>
    <t>https://www.agroprogress.ru/semena-zernovyh-i-zernobobovyh-kultur/prajs-list-dlya-melkooptovoj-prodazhi-semyan-1/</t>
  </si>
  <si>
    <t>p_treat</t>
  </si>
  <si>
    <t>Протравливание семян</t>
  </si>
  <si>
    <t>руб./кг семян</t>
  </si>
  <si>
    <t>Механизация</t>
  </si>
  <si>
    <t>p_d</t>
  </si>
  <si>
    <t>Дизельное топливо</t>
  </si>
  <si>
    <t>руб./л</t>
  </si>
  <si>
    <t>https://rosstat.gov.ru/</t>
  </si>
  <si>
    <t>w</t>
  </si>
  <si>
    <t>Часовая ставка механизатора</t>
  </si>
  <si>
    <t>руб./ч</t>
  </si>
  <si>
    <t>s_lab</t>
  </si>
  <si>
    <t>Начисления на оплату труда</t>
  </si>
  <si>
    <t>доля</t>
  </si>
  <si>
    <t>Сценарий</t>
  </si>
  <si>
    <t>Финансирование</t>
  </si>
  <si>
    <t>r</t>
  </si>
  <si>
    <t>Стоимость оборотного капитала</t>
  </si>
  <si>
    <t>доля/год</t>
  </si>
  <si>
    <t>Ключевая ставка + маржа</t>
  </si>
  <si>
    <t>https://www.cbr.ru/hd_base/KeyRate/</t>
  </si>
  <si>
    <t>tau</t>
  </si>
  <si>
    <t>Средний срок финансирования</t>
  </si>
  <si>
    <t>дней</t>
  </si>
  <si>
    <t>Полевые операции</t>
  </si>
  <si>
    <t>c_app</t>
  </si>
  <si>
    <t>Одно внесение минерального удобрения</t>
  </si>
  <si>
    <t>руб./га·проход</t>
  </si>
  <si>
    <t>Тариф с НДС</t>
  </si>
  <si>
    <t>Число событий — APSIM/Manager; цена — снаружи</t>
  </si>
  <si>
    <t>https://www.ooovektoragro.ru/</t>
  </si>
  <si>
    <t>Уборка</t>
  </si>
  <si>
    <t>c_harv_t</t>
  </si>
  <si>
    <t>Переменная часть уборки на тонну</t>
  </si>
  <si>
    <t>Использовать только по договору</t>
  </si>
  <si>
    <t>Послеуборочная</t>
  </si>
  <si>
    <t>c_dry</t>
  </si>
  <si>
    <t>Сушка за 1 т и 1 процентный пункт влажности</t>
  </si>
  <si>
    <t>руб./т·п.п.</t>
  </si>
  <si>
    <t>После расчёта APSIM</t>
  </si>
  <si>
    <t>c_clean</t>
  </si>
  <si>
    <t>Очистка и доработка зерна</t>
  </si>
  <si>
    <t>c_store</t>
  </si>
  <si>
    <t>Хранение</t>
  </si>
  <si>
    <t>руб./т·мес.</t>
  </si>
  <si>
    <t>Логистика</t>
  </si>
  <si>
    <t>c_tkm</t>
  </si>
  <si>
    <t>Автоперевозка зерна</t>
  </si>
  <si>
    <t>руб./т·км</t>
  </si>
  <si>
    <t>c_hand</t>
  </si>
  <si>
    <t>Погрузка, выгрузка и перевалка</t>
  </si>
  <si>
    <t>W_target</t>
  </si>
  <si>
    <t>Целевая влажность товарного зерна</t>
  </si>
  <si>
    <t>%</t>
  </si>
  <si>
    <t>Обычно задаётся снаружи</t>
  </si>
  <si>
    <t>https://www.agroprogress.ru/mineralnye-udobreniy/mineralnye-udobreniya/prajs-list-na-mineralnye-udobreniya-i-drugie-himicheskie-produkty-dlya-optovoj-torgovli-ot-20-t/</t>
  </si>
  <si>
    <t>Единая константа C: расходы, одинаковые для всех вариантов</t>
  </si>
  <si>
    <t>В итоговой целевой функции эти статьи не раскрываются: используется одна буква C. Семена и протравливание не входят в C, поскольку норма посева может меняться.</t>
  </si>
  <si>
    <t>Статья</t>
  </si>
  <si>
    <t>База, руб./га</t>
  </si>
  <si>
    <t>Включить (1/0)</t>
  </si>
  <si>
    <t>C_land</t>
  </si>
  <si>
    <t>Земля или альтернативная стоимость земли</t>
  </si>
  <si>
    <t>C_tax</t>
  </si>
  <si>
    <t>Земельный налог и постоянные сборы</t>
  </si>
  <si>
    <t>C_admin</t>
  </si>
  <si>
    <t>Административные и общехозяйственные расходы</t>
  </si>
  <si>
    <t>C_ins</t>
  </si>
  <si>
    <t>Страхование</t>
  </si>
  <si>
    <t>C_tillage0</t>
  </si>
  <si>
    <t>Фиксированная базовая обработка почвы</t>
  </si>
  <si>
    <t>C_sow0</t>
  </si>
  <si>
    <t>Фиксированный проход посева</t>
  </si>
  <si>
    <t>C_assets</t>
  </si>
  <si>
    <t>Постоянная инфраструктура и основные средства</t>
  </si>
  <si>
    <t>C_harv_ha</t>
  </si>
  <si>
    <t>Фиксированная уборка на гектар</t>
  </si>
  <si>
    <t>C_other0</t>
  </si>
  <si>
    <t>Прочие одинаковые расходы</t>
  </si>
  <si>
    <t>C — единая константа</t>
  </si>
  <si>
    <t>Статус «Да» означает прямой вход или выход типовой модели. «Условно» — только после подключения и калибровки соответствующего модуля. Экономические коэффициенты всегда рассчитываются снаружи.</t>
  </si>
  <si>
    <t>Параметр</t>
  </si>
  <si>
    <t>Направление</t>
  </si>
  <si>
    <t>Доступно в APSIM</t>
  </si>
  <si>
    <t>Как задаётся/считывается</t>
  </si>
  <si>
    <t>Роль в оптимизации</t>
  </si>
  <si>
    <t>Стартовый диапазон/значение</t>
  </si>
  <si>
    <t>Комментарий</t>
  </si>
  <si>
    <t>Погода и период моделирования</t>
  </si>
  <si>
    <t>s</t>
  </si>
  <si>
    <t>погодный ряд</t>
  </si>
  <si>
    <t>Вход</t>
  </si>
  <si>
    <t>Да</t>
  </si>
  <si>
    <t>Weather и Clock</t>
  </si>
  <si>
    <t>несколько лет/сценариев</t>
  </si>
  <si>
    <t>Не экономический параметр</t>
  </si>
  <si>
    <t>Дата или правило сева</t>
  </si>
  <si>
    <t>d_sow</t>
  </si>
  <si>
    <t>дата/условие</t>
  </si>
  <si>
    <t>Manager + Sow</t>
  </si>
  <si>
    <t>Переменная решения</t>
  </si>
  <si>
    <t>региональное окно</t>
  </si>
  <si>
    <t>Можно оптимизировать</t>
  </si>
  <si>
    <t>Сорт</t>
  </si>
  <si>
    <t>cultivar</t>
  </si>
  <si>
    <t>категория</t>
  </si>
  <si>
    <t>Cultivar</t>
  </si>
  <si>
    <t>только откалиброванные сорта</t>
  </si>
  <si>
    <t>Нельзя сравнивать неоткалиброванные сорта</t>
  </si>
  <si>
    <t>Популяция растений</t>
  </si>
  <si>
    <t>P</t>
  </si>
  <si>
    <t>растений/м²</t>
  </si>
  <si>
    <t>Population</t>
  </si>
  <si>
    <t>250–500</t>
  </si>
  <si>
    <t>Норма семян пересчитывается снаружи</t>
  </si>
  <si>
    <t>Глубина и междурядье</t>
  </si>
  <si>
    <t>depth,row</t>
  </si>
  <si>
    <t>мм</t>
  </si>
  <si>
    <t>Depth и RowSpacing</t>
  </si>
  <si>
    <t>Опциональная переменная</t>
  </si>
  <si>
    <t>после калибровки</t>
  </si>
  <si>
    <t>В первой версии можно фиксировать</t>
  </si>
  <si>
    <t>Блок</t>
  </si>
  <si>
    <t>Источники и статус исходных значений</t>
  </si>
  <si>
    <t>Основание</t>
  </si>
  <si>
    <t>Ссылка</t>
  </si>
  <si>
    <t>Цена пшеницы</t>
  </si>
  <si>
    <t>Интерфакс / Российский зерновой союз: внутренние цены около 14,3 тыс. руб./т</t>
  </si>
  <si>
    <t>Рыночный ориентир</t>
  </si>
  <si>
    <t>Минеральные удобрения</t>
  </si>
  <si>
    <t>Прайс-лист на удобрения; к цене добавлена сценарная логистика 3 000 руб./т</t>
  </si>
  <si>
    <t>Семена</t>
  </si>
  <si>
    <t>Мелкооптовый прайс использован как стартовый ориентир</t>
  </si>
  <si>
    <t>Средняя цена дизельного топлива по ЦФО</t>
  </si>
  <si>
    <t>Стоимость капитала</t>
  </si>
  <si>
    <t>Ключевая ставка Банка России + сценарная банковская маржа</t>
  </si>
  <si>
    <t>Опубликованные тарифы внесения, опрыскивания и уборки</t>
  </si>
  <si>
    <t>APSIM experiments</t>
  </si>
  <si>
    <t>Официальный tutorial: сроки и нормы сева, удобрения, исходные вода и азот</t>
  </si>
  <si>
    <t>https://apsimnextgeneration.netlify.app/user_tutorials/module4/modulefourtutorial/</t>
  </si>
  <si>
    <t>Документация</t>
  </si>
  <si>
    <t>APSIM Manager</t>
  </si>
  <si>
    <t>Правила внесения азота и орошения</t>
  </si>
  <si>
    <t>https://builds.apsim.info/api/nextgen/docs/Manager.pdf</t>
  </si>
  <si>
    <t>APSIM Wheat</t>
  </si>
  <si>
    <t>Cultivar, Population, Depth и RowSpacing при посеве</t>
  </si>
  <si>
    <t>https://apsimdev.apsim.info/ApsimX/Releases/2021.9.21.6799/Wheat.description.pdf</t>
  </si>
  <si>
    <t>Инженерные оценки</t>
  </si>
  <si>
    <t>Сушка, очистка, хранение, транспорт, фиксированная защита и часть постоянных затрат</t>
  </si>
  <si>
    <t>Заменить договорами хозяйства</t>
  </si>
  <si>
    <t xml:space="preserve">Параметры выращивания: APSIM (таблица не содержит удобрений) </t>
  </si>
  <si>
    <t>Цены удобрений и форм питания для APSIMX</t>
  </si>
  <si>
    <t>Жёлтые ячейки — редактируемые исходные цены и содержание элемента. Расчётные цены в руб./кг amount вычисляются автоматически. Цена продукта указана без доставки; DAP и RockP — стартовые рабочие оценки.</t>
  </si>
  <si>
    <t>Тип APSIMX</t>
  </si>
  <si>
    <t>Товарный аналог</t>
  </si>
  <si>
    <t>Цена продукта,
руб./т</t>
  </si>
  <si>
    <t>Элемент</t>
  </si>
  <si>
    <t>Содержание элемента
в продукте</t>
  </si>
  <si>
    <t>Как трактуется amount
в APSIMX</t>
  </si>
  <si>
    <t>Цена 1 кг продукта,
руб.</t>
  </si>
  <si>
    <t>Цена 1 кг элемента,
руб.</t>
  </si>
  <si>
    <t>Рекомендуемая цена
1 кг amount, руб.</t>
  </si>
  <si>
    <t>Статус цены</t>
  </si>
  <si>
    <t>CalciteCA</t>
  </si>
  <si>
    <t>Кальцит: внесение кальция</t>
  </si>
  <si>
    <t>Известняковая мука</t>
  </si>
  <si>
    <t>Ca</t>
  </si>
  <si>
    <t>кг элемента</t>
  </si>
  <si>
    <t>Расчётная цена ≈ 13 руб./кг Ca</t>
  </si>
  <si>
    <t>CalciteFine</t>
  </si>
  <si>
    <t>Мелкодисперсный кальцит</t>
  </si>
  <si>
    <t>масса продукта</t>
  </si>
  <si>
    <t>кг продукта</t>
  </si>
  <si>
    <t>amount трактуется как физическая масса</t>
  </si>
  <si>
    <t>Dolomite</t>
  </si>
  <si>
    <t>Доломитовая мука</t>
  </si>
  <si>
    <t>NO3N</t>
  </si>
  <si>
    <t>Азот полностью в нитратной форме NO₃</t>
  </si>
  <si>
    <t>Кальциевая селитра, N 17%</t>
  </si>
  <si>
    <t>N</t>
  </si>
  <si>
    <t>Рабочий ориентир</t>
  </si>
  <si>
    <t>Чистая нитратная форма; цену лучше заменить коммерческим предложением</t>
  </si>
  <si>
    <t>NH4N</t>
  </si>
  <si>
    <t>Азот полностью в аммонийной форме NH₄</t>
  </si>
  <si>
    <t>Сульфат аммония, N 21%</t>
  </si>
  <si>
    <t>Цена рассчитывается на 1 кг N</t>
  </si>
  <si>
    <t>NH4NO3N</t>
  </si>
  <si>
    <t>50% NO₃ + 50% NH₄</t>
  </si>
  <si>
    <t>Аммиачная селитра, N 34,4%</t>
  </si>
  <si>
    <t>amount — кг N/га</t>
  </si>
  <si>
    <t>DAP</t>
  </si>
  <si>
    <t>Диаммонийфосфат</t>
  </si>
  <si>
    <t>DAP 18:46/47</t>
  </si>
  <si>
    <t>Стандартный FertiliserType APSIMX добавляет NH₄; P отдельно автоматически не добавляется</t>
  </si>
  <si>
    <t>MAP</t>
  </si>
  <si>
    <t>Моноаммонийфосфат</t>
  </si>
  <si>
    <t>MAP / аммофос 12:52</t>
  </si>
  <si>
    <t>UAN_N</t>
  </si>
  <si>
    <t>25% NO₃ + 25% NH₄ + 50% Urea</t>
  </si>
  <si>
    <t>КАС-32</t>
  </si>
  <si>
    <t>UreaN</t>
  </si>
  <si>
    <t>Азот полностью в солюте Urea</t>
  </si>
  <si>
    <t>Карбамид, N 46%</t>
  </si>
  <si>
    <t>UreaNO3</t>
  </si>
  <si>
    <t>50% NO₃ + 50% Urea</t>
  </si>
  <si>
    <t>Экономический аналог КАС-32</t>
  </si>
  <si>
    <t>Рабочее соответствие</t>
  </si>
  <si>
    <t>Для экономического расчёта использован КАС-32</t>
  </si>
  <si>
    <t>Urea</t>
  </si>
  <si>
    <t>Карбамид; трактовка зависит от FertiliserType</t>
  </si>
  <si>
    <t>проверить FertiliserType</t>
  </si>
  <si>
    <t/>
  </si>
  <si>
    <t>Требует проверки</t>
  </si>
  <si>
    <t>Если amount = кг продукта — 35,5 руб.; если amount = кг N — 77,2 руб.</t>
  </si>
  <si>
    <t>NH4SO4N</t>
  </si>
  <si>
    <t>Аммонийный азот из сульфата аммония</t>
  </si>
  <si>
    <t>Сера стандартным типом может не передаваться отдельным солютом</t>
  </si>
  <si>
    <t>RockP</t>
  </si>
  <si>
    <t>Фосфоритная мука / медленно доступный P</t>
  </si>
  <si>
    <t>Фосфоритная мука</t>
  </si>
  <si>
    <t>Расчётная цена ≈ 31,6 руб./кг P</t>
  </si>
  <si>
    <t>BandedP</t>
  </si>
  <si>
    <t>Ленточное внесение фосфора</t>
  </si>
  <si>
    <t>MAP 12:52 как источник P</t>
  </si>
  <si>
    <t>Расчётный ориентир</t>
  </si>
  <si>
    <t>0,2269 = 52% P₂O₅ × 0,4364; отдельно учесть стоимость ленточного внесения</t>
  </si>
  <si>
    <t>BroadcastP</t>
  </si>
  <si>
    <t>Разбросное внесение фосфора</t>
  </si>
  <si>
    <t>Цена P та же, что для BandedP; отличается операция внесения</t>
  </si>
  <si>
    <t>Примечание: транспортировка до хозяйства не включена. Для оптимизации лучше добавить отдельную логистику в руб./т и автоматически пересчитывать цену продукта с доставкой.</t>
  </si>
  <si>
    <t>Пояснения к расчётным ценам APSIMX</t>
  </si>
  <si>
    <t>Ситуация</t>
  </si>
  <si>
    <t>Что означает amount</t>
  </si>
  <si>
    <t>Какую цену использовать</t>
  </si>
  <si>
    <t>Формула</t>
  </si>
  <si>
    <t>Пример</t>
  </si>
  <si>
    <t>amount — кг физического продукта</t>
  </si>
  <si>
    <t>Масса удобрения или мелиоранта</t>
  </si>
  <si>
    <t>Цена 1 кг продукта</t>
  </si>
  <si>
    <t>Цена продукта, руб./т ÷ 1000</t>
  </si>
  <si>
    <t>MAP: 63 800 ÷ 1000 = 63,8 руб./кг</t>
  </si>
  <si>
    <t>Используется для CalciteFine, Dolomite, DAP, MAP</t>
  </si>
  <si>
    <t>amount — кг элемента питания</t>
  </si>
  <si>
    <t>Кг N, P или Ca</t>
  </si>
  <si>
    <t>Цена 1 кг элемента</t>
  </si>
  <si>
    <t>Цена 1 кг продукта ÷ массовая доля элемента</t>
  </si>
  <si>
    <t>Селитра: 24 ÷ 0,344 = 69,8 руб./кг N</t>
  </si>
  <si>
    <t>Используется для NH4NO3N, UreaN, UAN_N и др.</t>
  </si>
  <si>
    <t>Зависит от конкретного определения FertiliserType</t>
  </si>
  <si>
    <t>35,5 или 77,2 руб./кг amount</t>
  </si>
  <si>
    <t>Проверить SoluteFraction</t>
  </si>
  <si>
    <t>0,46 → масса продукта; 1,00 → кг N</t>
  </si>
  <si>
    <t>Не переносить цену автоматически без проверки .apsimx</t>
  </si>
  <si>
    <t>DAP и MAP</t>
  </si>
  <si>
    <t>Стандартный тип APSIMX описывает внесение NH₄</t>
  </si>
  <si>
    <t>Цена физического продукта</t>
  </si>
  <si>
    <t>руб./т ÷ 1000</t>
  </si>
  <si>
    <t>DAP ≈ 60 руб./кг; MAP = 63,8 руб./кг</t>
  </si>
  <si>
    <t>Название продукта не означает автоматическое внесение P в P-пулы</t>
  </si>
  <si>
    <t>BandedP и BroadcastP</t>
  </si>
  <si>
    <t>Кг элементарного P</t>
  </si>
  <si>
    <t>Цена 1 кг P</t>
  </si>
  <si>
    <t>Цена MAP ÷ (0,52 × 0,4364)</t>
  </si>
  <si>
    <t>≈ 281 руб./кг P</t>
  </si>
  <si>
    <t>Отдельно различается стоимость операции ленточного и разбросного внесения</t>
  </si>
  <si>
    <t>4 руб./кг продукта ÷ 0,1266</t>
  </si>
  <si>
    <t>≈ 31,6 руб./кг P</t>
  </si>
  <si>
    <t>Цена и содержание P — рабочая оценка</t>
  </si>
  <si>
    <t>Источники и статус цен</t>
  </si>
  <si>
    <t>Источник/основание</t>
  </si>
  <si>
    <t>Аммиачная селитра, карбамид, сульфат аммония, MAP, известняковая и доломитовая мука</t>
  </si>
  <si>
    <t>Оптовые ориентиры; без доставки</t>
  </si>
  <si>
    <t>Рабочая рыночная оценка 35 500 руб./т</t>
  </si>
  <si>
    <t>Заменить фактическим предложением</t>
  </si>
  <si>
    <t>60 000 руб./т</t>
  </si>
  <si>
    <t>Стартовая оценка</t>
  </si>
  <si>
    <t>4 000 руб./т</t>
  </si>
  <si>
    <t>Кальциевая селитра 55 000 руб./т, N 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</si>
</sst>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[Red]\(#,##0.00\);\-"/>
    <numFmt numFmtId="165" formatCode="0.0%;[Red]\(0.0%\);\-"/>
    <numFmt numFmtId="166" formatCode="#,##0.0;[Red]\(#,##0.0\);\-"/>
    <numFmt numFmtId="167" formatCode="#,##0;[Red]\(#,##0\);\-"/>
    <numFmt numFmtId="168" formatCode="0.0000"/>
  </numFmts>
  <fonts count="11" x14ac:knownFonts="1">
    <font>
      <sz val="11"/>
      <name val="Carlito"/>
    </font>
    <font>
      <b/>
      <sz val="10"/>
      <color rgb="FFFFFFFF"/>
      <name val="Calibri"/>
    </font>
    <font>
      <sz val="10"/>
      <name val="Calibri"/>
    </font>
    <font>
      <b/>
      <sz val="10"/>
      <color rgb="FF17365D"/>
      <name val="Calibri"/>
    </font>
    <font>
      <sz val="10"/>
      <color rgb="FF008000"/>
      <name val="Calibri"/>
    </font>
    <font>
      <b/>
      <sz val="10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6"/>
      <color rgb="FFFFFFFF"/>
      <name val="Calibri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548235"/>
      </top>
      <bottom/>
      <diagonal/>
    </border>
  </borders>
  <cellStyleXfs count="5">
    <xf numFmtId="0" fontId="0" fillId="0" borderId="0"/>
    <xf numFmtId="0" fontId="10" fillId="0" borderId="0"/>
    <xf numFmtId="0" fontId="10" fillId="0" borderId="1"/>
    <xf numFmtId="0" fontId="10" fillId="0" borderId="1"/>
    <xf numFmtId="0" fontId="10" fillId="0" borderId="1"/>
  </cellStyleXfs>
  <cellXfs count="35">
    <xf numFmtId="0" fontId="0" fillId="0" borderId="0" xfId="0"/>
    <xf numFmtId="0" fontId="2" fillId="0" borderId="0" xfId="1" applyNumberFormat="1" applyFont="1" applyFill="1" applyBorder="1"/>
    <xf numFmtId="0" fontId="1" fillId="4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vertical="center" wrapText="1"/>
    </xf>
    <xf numFmtId="164" fontId="6" fillId="5" borderId="0" xfId="1" applyNumberFormat="1" applyFont="1" applyFill="1" applyBorder="1" applyAlignment="1">
      <alignment horizontal="right" vertical="center" wrapText="1"/>
    </xf>
    <xf numFmtId="0" fontId="6" fillId="5" borderId="0" xfId="1" applyNumberFormat="1" applyFont="1" applyFill="1" applyBorder="1" applyAlignment="1">
      <alignment horizontal="right" vertical="center" wrapText="1"/>
    </xf>
    <xf numFmtId="0" fontId="5" fillId="6" borderId="2" xfId="1" applyNumberFormat="1" applyFont="1" applyFill="1" applyBorder="1" applyAlignment="1">
      <alignment vertical="center" wrapText="1"/>
    </xf>
    <xf numFmtId="165" fontId="6" fillId="5" borderId="0" xfId="1" applyNumberFormat="1" applyFont="1" applyFill="1" applyBorder="1" applyAlignment="1">
      <alignment horizontal="right" vertical="center" wrapText="1"/>
    </xf>
    <xf numFmtId="167" fontId="6" fillId="5" borderId="0" xfId="1" applyNumberFormat="1" applyFont="1" applyFill="1" applyBorder="1" applyAlignment="1">
      <alignment horizontal="right" vertical="center" wrapText="1"/>
    </xf>
    <xf numFmtId="167" fontId="8" fillId="6" borderId="2" xfId="1" applyNumberFormat="1" applyFont="1" applyFill="1" applyBorder="1" applyAlignment="1">
      <alignment vertical="center" wrapText="1"/>
    </xf>
    <xf numFmtId="0" fontId="9" fillId="2" borderId="0" xfId="1" applyNumberFormat="1" applyFont="1" applyFill="1" applyBorder="1" applyAlignment="1">
      <alignment horizontal="left" vertical="center"/>
    </xf>
    <xf numFmtId="0" fontId="2" fillId="3" borderId="0" xfId="1" applyNumberFormat="1" applyFont="1" applyFill="1" applyBorder="1" applyAlignment="1">
      <alignment wrapText="1"/>
    </xf>
    <xf numFmtId="0" fontId="5" fillId="6" borderId="2" xfId="1" applyNumberFormat="1" applyFont="1" applyFill="1" applyBorder="1" applyAlignment="1">
      <alignment vertical="center" wrapText="1"/>
    </xf>
    <xf numFmtId="0" fontId="2" fillId="8" borderId="0" xfId="1" applyNumberFormat="1" applyFont="1" applyFill="1" applyBorder="1" applyAlignment="1">
      <alignment vertical="center" wrapText="1"/>
    </xf>
    <xf numFmtId="0" fontId="2" fillId="3" borderId="1" xfId="3" applyNumberFormat="1" applyFont="1" applyFill="1" applyBorder="1" applyAlignment="1">
      <alignment vertical="center" wrapText="1"/>
    </xf>
    <xf numFmtId="0" fontId="2" fillId="0" borderId="1" xfId="3" applyNumberFormat="1" applyFont="1" applyFill="1" applyBorder="1"/>
    <xf numFmtId="0" fontId="1" fillId="4" borderId="1" xfId="3" applyNumberFormat="1" applyFont="1" applyFill="1" applyBorder="1" applyAlignment="1">
      <alignment horizontal="center" vertical="center" wrapText="1"/>
    </xf>
    <xf numFmtId="0" fontId="2" fillId="0" borderId="1" xfId="3" applyNumberFormat="1" applyFont="1" applyFill="1" applyBorder="1" applyAlignment="1">
      <alignment vertical="center" wrapText="1"/>
    </xf>
    <xf numFmtId="166" fontId="6" fillId="5" borderId="1" xfId="3" applyNumberFormat="1" applyFont="1" applyFill="1" applyBorder="1" applyAlignment="1">
      <alignment vertical="center" wrapText="1"/>
    </xf>
    <xf numFmtId="0" fontId="6" fillId="5" borderId="1" xfId="3" applyNumberFormat="1" applyFont="1" applyFill="1" applyBorder="1" applyAlignment="1">
      <alignment vertical="center" wrapText="1"/>
    </xf>
    <xf numFmtId="168" fontId="6" fillId="5" borderId="1" xfId="3" applyNumberFormat="1" applyFont="1" applyFill="1" applyBorder="1" applyAlignment="1">
      <alignment vertical="center" wrapText="1"/>
    </xf>
    <xf numFmtId="164" fontId="7" fillId="0" borderId="1" xfId="3" applyNumberFormat="1" applyFont="1" applyFill="1" applyBorder="1" applyAlignment="1">
      <alignment vertical="center" wrapText="1"/>
    </xf>
    <xf numFmtId="0" fontId="2" fillId="5" borderId="1" xfId="3" applyNumberFormat="1" applyFont="1" applyFill="1" applyBorder="1" applyAlignment="1">
      <alignment vertical="center" wrapText="1"/>
    </xf>
    <xf numFmtId="164" fontId="7" fillId="5" borderId="1" xfId="3" applyNumberFormat="1" applyFont="1" applyFill="1" applyBorder="1" applyAlignment="1">
      <alignment vertical="center" wrapText="1"/>
    </xf>
    <xf numFmtId="166" fontId="6" fillId="3" borderId="1" xfId="3" applyNumberFormat="1" applyFont="1" applyFill="1" applyBorder="1" applyAlignment="1">
      <alignment vertical="center" wrapText="1"/>
    </xf>
    <xf numFmtId="0" fontId="6" fillId="3" borderId="1" xfId="3" applyNumberFormat="1" applyFont="1" applyFill="1" applyBorder="1" applyAlignment="1">
      <alignment vertical="center" wrapText="1"/>
    </xf>
    <xf numFmtId="168" fontId="6" fillId="3" borderId="1" xfId="3" applyNumberFormat="1" applyFont="1" applyFill="1" applyBorder="1" applyAlignment="1">
      <alignment vertical="center" wrapText="1"/>
    </xf>
    <xf numFmtId="164" fontId="7" fillId="3" borderId="1" xfId="3" applyNumberFormat="1" applyFont="1" applyFill="1" applyBorder="1" applyAlignment="1">
      <alignment vertical="center" wrapText="1"/>
    </xf>
    <xf numFmtId="0" fontId="9" fillId="2" borderId="1" xfId="3" applyNumberFormat="1" applyFont="1" applyFill="1" applyBorder="1" applyAlignment="1">
      <alignment vertical="center"/>
    </xf>
    <xf numFmtId="0" fontId="2" fillId="3" borderId="1" xfId="3" applyNumberFormat="1" applyFont="1" applyFill="1" applyBorder="1" applyAlignment="1">
      <alignment vertical="center" wrapText="1"/>
    </xf>
    <xf numFmtId="0" fontId="3" fillId="7" borderId="1" xfId="3" applyNumberFormat="1" applyFont="1" applyFill="1" applyBorder="1"/>
    <xf numFmtId="0" fontId="2" fillId="0" borderId="1" xfId="3" applyNumberFormat="1" applyFont="1" applyFill="1" applyBorder="1"/>
    <xf numFmtId="0" fontId="1" fillId="4" borderId="1" xfId="3" applyNumberFormat="1" applyFont="1" applyFill="1" applyBorder="1" applyAlignment="1">
      <alignment horizontal="center" vertical="center" wrapText="1"/>
    </xf>
    <xf numFmtId="0" fontId="2" fillId="0" borderId="1" xfId="3" applyNumberFormat="1" applyFont="1" applyFill="1" applyBorder="1" applyAlignment="1">
      <alignment vertical="center" wrapText="1"/>
    </xf>
    <xf numFmtId="0" fontId="4" fillId="0" borderId="1" xfId="3" applyNumberFormat="1" applyFont="1" applyFill="1" applyBorder="1" applyAlignment="1">
      <alignment vertical="center" wrapText="1"/>
    </xf>
  </cellXfs>
  <cellStyles count="5">
    <cellStyle name="Normal" xfId="1"/>
    <cellStyle name="Normal 2" xfId="3"/>
    <cellStyle name="Обычный" xfId="0" builtinId="0"/>
    <cellStyle name="Обычный 2" xfId="2"/>
    <cellStyle name="Обычный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8"/>
  <sheetViews>
    <sheetView tabSelected="1" workbookViewId="0">
      <selection activeCell="C12" sqref="C12"/>
    </sheetView>
  </sheetViews>
  <sheetFormatPr defaultRowHeight="15" x14ac:dyDescent="0.25"/>
  <cols>
    <col min="1" max="1" width="18" customWidth="1"/>
    <col min="2" max="2" width="14" customWidth="1"/>
    <col min="3" max="3" width="38" customWidth="1"/>
    <col min="4" max="4" width="13" customWidth="1"/>
    <col min="5" max="5" width="17" customWidth="1"/>
    <col min="6" max="7" width="12" customWidth="1"/>
    <col min="8" max="8" width="21" customWidth="1"/>
    <col min="9" max="9" width="34" customWidth="1"/>
    <col min="10" max="10" width="42" customWidth="1"/>
  </cols>
  <sheetData>
    <row r="1" spans="1:26" ht="27.9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" t="s">
        <v>12</v>
      </c>
      <c r="B4" s="13" t="s">
        <v>13</v>
      </c>
      <c r="C4" s="13" t="s">
        <v>14</v>
      </c>
      <c r="D4" s="4">
        <v>14300</v>
      </c>
      <c r="E4" s="5" t="s">
        <v>15</v>
      </c>
      <c r="F4" s="4">
        <v>12500</v>
      </c>
      <c r="G4" s="4">
        <v>16500</v>
      </c>
      <c r="H4" s="3" t="s">
        <v>16</v>
      </c>
      <c r="I4" s="3" t="s">
        <v>17</v>
      </c>
      <c r="J4" s="3" t="s">
        <v>18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3" t="s">
        <v>19</v>
      </c>
      <c r="B5" s="13" t="s">
        <v>20</v>
      </c>
      <c r="C5" s="13" t="s">
        <v>21</v>
      </c>
      <c r="D5" s="4">
        <v>1500</v>
      </c>
      <c r="E5" s="5" t="s">
        <v>15</v>
      </c>
      <c r="F5" s="4">
        <v>0</v>
      </c>
      <c r="G5" s="4">
        <v>2500</v>
      </c>
      <c r="H5" s="3" t="s">
        <v>22</v>
      </c>
      <c r="I5" s="3" t="s">
        <v>17</v>
      </c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3" t="s">
        <v>19</v>
      </c>
      <c r="B6" s="3" t="s">
        <v>23</v>
      </c>
      <c r="C6" s="3" t="s">
        <v>24</v>
      </c>
      <c r="D6" s="4">
        <v>900</v>
      </c>
      <c r="E6" s="5" t="s">
        <v>15</v>
      </c>
      <c r="F6" s="4">
        <v>600</v>
      </c>
      <c r="G6" s="4">
        <v>1400</v>
      </c>
      <c r="H6" s="3" t="s">
        <v>22</v>
      </c>
      <c r="I6" s="3" t="s">
        <v>17</v>
      </c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 x14ac:dyDescent="0.25">
      <c r="A7" s="3" t="s">
        <v>25</v>
      </c>
      <c r="B7" s="3" t="s">
        <v>26</v>
      </c>
      <c r="C7" s="3" t="s">
        <v>27</v>
      </c>
      <c r="D7" s="4">
        <v>32</v>
      </c>
      <c r="E7" s="5" t="s">
        <v>28</v>
      </c>
      <c r="F7" s="4">
        <v>25</v>
      </c>
      <c r="G7" s="4">
        <v>45</v>
      </c>
      <c r="H7" s="3" t="s">
        <v>29</v>
      </c>
      <c r="I7" s="3" t="s">
        <v>17</v>
      </c>
      <c r="J7" s="3" t="s">
        <v>30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" t="s">
        <v>25</v>
      </c>
      <c r="B8" s="3" t="s">
        <v>31</v>
      </c>
      <c r="C8" s="3" t="s">
        <v>32</v>
      </c>
      <c r="D8" s="4">
        <v>3.5</v>
      </c>
      <c r="E8" s="5" t="s">
        <v>33</v>
      </c>
      <c r="F8" s="4">
        <v>2</v>
      </c>
      <c r="G8" s="4">
        <v>6</v>
      </c>
      <c r="H8" s="3" t="s">
        <v>22</v>
      </c>
      <c r="I8" s="3" t="s">
        <v>17</v>
      </c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3" t="s">
        <v>34</v>
      </c>
      <c r="B9" s="3" t="s">
        <v>35</v>
      </c>
      <c r="C9" s="3" t="s">
        <v>36</v>
      </c>
      <c r="D9" s="4">
        <v>78.2</v>
      </c>
      <c r="E9" s="5" t="s">
        <v>37</v>
      </c>
      <c r="F9" s="4">
        <v>72</v>
      </c>
      <c r="G9" s="4">
        <v>85</v>
      </c>
      <c r="H9" s="3" t="s">
        <v>16</v>
      </c>
      <c r="I9" s="3" t="s">
        <v>17</v>
      </c>
      <c r="J9" s="3" t="s">
        <v>38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" t="s">
        <v>34</v>
      </c>
      <c r="B10" s="3" t="s">
        <v>39</v>
      </c>
      <c r="C10" s="3" t="s">
        <v>40</v>
      </c>
      <c r="D10" s="4">
        <v>450</v>
      </c>
      <c r="E10" s="5" t="s">
        <v>41</v>
      </c>
      <c r="F10" s="4">
        <v>350</v>
      </c>
      <c r="G10" s="4">
        <v>600</v>
      </c>
      <c r="H10" s="3" t="s">
        <v>22</v>
      </c>
      <c r="I10" s="3" t="s">
        <v>17</v>
      </c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3" t="s">
        <v>34</v>
      </c>
      <c r="B11" s="3" t="s">
        <v>42</v>
      </c>
      <c r="C11" s="3" t="s">
        <v>43</v>
      </c>
      <c r="D11" s="7">
        <v>0.3</v>
      </c>
      <c r="E11" s="7" t="s">
        <v>44</v>
      </c>
      <c r="F11" s="7">
        <v>0.25</v>
      </c>
      <c r="G11" s="7">
        <v>0.35</v>
      </c>
      <c r="H11" s="3" t="s">
        <v>45</v>
      </c>
      <c r="I11" s="3" t="s">
        <v>17</v>
      </c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3" t="s">
        <v>46</v>
      </c>
      <c r="B12" s="3" t="s">
        <v>47</v>
      </c>
      <c r="C12" s="3" t="s">
        <v>48</v>
      </c>
      <c r="D12" s="7">
        <v>0.18</v>
      </c>
      <c r="E12" s="7" t="s">
        <v>49</v>
      </c>
      <c r="F12" s="7">
        <v>0.14249999999999999</v>
      </c>
      <c r="G12" s="7">
        <v>0.22</v>
      </c>
      <c r="H12" s="3" t="s">
        <v>50</v>
      </c>
      <c r="I12" s="3" t="s">
        <v>17</v>
      </c>
      <c r="J12" s="3" t="s">
        <v>51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" t="s">
        <v>46</v>
      </c>
      <c r="B13" s="3" t="s">
        <v>52</v>
      </c>
      <c r="C13" s="3" t="s">
        <v>53</v>
      </c>
      <c r="D13" s="4">
        <v>240</v>
      </c>
      <c r="E13" s="5" t="s">
        <v>54</v>
      </c>
      <c r="F13" s="4">
        <v>180</v>
      </c>
      <c r="G13" s="4">
        <v>300</v>
      </c>
      <c r="H13" s="3" t="s">
        <v>45</v>
      </c>
      <c r="I13" s="3" t="s">
        <v>17</v>
      </c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x14ac:dyDescent="0.25">
      <c r="A14" s="3" t="s">
        <v>55</v>
      </c>
      <c r="B14" s="3" t="s">
        <v>56</v>
      </c>
      <c r="C14" s="3" t="s">
        <v>57</v>
      </c>
      <c r="D14" s="4">
        <v>480</v>
      </c>
      <c r="E14" s="5" t="s">
        <v>58</v>
      </c>
      <c r="F14" s="4">
        <v>400</v>
      </c>
      <c r="G14" s="4">
        <v>900</v>
      </c>
      <c r="H14" s="3" t="s">
        <v>59</v>
      </c>
      <c r="I14" s="3" t="s">
        <v>60</v>
      </c>
      <c r="J14" s="3" t="s">
        <v>61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x14ac:dyDescent="0.25">
      <c r="A15" s="3" t="s">
        <v>62</v>
      </c>
      <c r="B15" s="3" t="s">
        <v>63</v>
      </c>
      <c r="C15" s="3" t="s">
        <v>64</v>
      </c>
      <c r="D15" s="4">
        <v>0</v>
      </c>
      <c r="E15" s="5" t="s">
        <v>15</v>
      </c>
      <c r="F15" s="4">
        <v>0</v>
      </c>
      <c r="G15" s="4">
        <v>500</v>
      </c>
      <c r="H15" s="3" t="s">
        <v>65</v>
      </c>
      <c r="I15" s="3" t="s">
        <v>17</v>
      </c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3" t="s">
        <v>66</v>
      </c>
      <c r="B16" s="3" t="s">
        <v>67</v>
      </c>
      <c r="C16" s="3" t="s">
        <v>68</v>
      </c>
      <c r="D16" s="4">
        <v>180</v>
      </c>
      <c r="E16" s="5" t="s">
        <v>69</v>
      </c>
      <c r="F16" s="4">
        <v>120</v>
      </c>
      <c r="G16" s="4">
        <v>250</v>
      </c>
      <c r="H16" s="3" t="s">
        <v>22</v>
      </c>
      <c r="I16" s="3" t="s">
        <v>70</v>
      </c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3" t="s">
        <v>66</v>
      </c>
      <c r="B17" s="3" t="s">
        <v>71</v>
      </c>
      <c r="C17" s="3" t="s">
        <v>72</v>
      </c>
      <c r="D17" s="4">
        <v>500</v>
      </c>
      <c r="E17" s="5" t="s">
        <v>15</v>
      </c>
      <c r="F17" s="4">
        <v>300</v>
      </c>
      <c r="G17" s="4">
        <v>800</v>
      </c>
      <c r="H17" s="3" t="s">
        <v>22</v>
      </c>
      <c r="I17" s="3" t="s">
        <v>70</v>
      </c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" t="s">
        <v>66</v>
      </c>
      <c r="B18" s="3" t="s">
        <v>73</v>
      </c>
      <c r="C18" s="3" t="s">
        <v>74</v>
      </c>
      <c r="D18" s="4">
        <v>250</v>
      </c>
      <c r="E18" s="5" t="s">
        <v>75</v>
      </c>
      <c r="F18" s="4">
        <v>150</v>
      </c>
      <c r="G18" s="4">
        <v>400</v>
      </c>
      <c r="H18" s="3" t="s">
        <v>22</v>
      </c>
      <c r="I18" s="3" t="s">
        <v>70</v>
      </c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" t="s">
        <v>76</v>
      </c>
      <c r="B19" s="3" t="s">
        <v>77</v>
      </c>
      <c r="C19" s="3" t="s">
        <v>78</v>
      </c>
      <c r="D19" s="4">
        <v>7</v>
      </c>
      <c r="E19" s="5" t="s">
        <v>79</v>
      </c>
      <c r="F19" s="4">
        <v>5</v>
      </c>
      <c r="G19" s="4">
        <v>10</v>
      </c>
      <c r="H19" s="3" t="s">
        <v>22</v>
      </c>
      <c r="I19" s="3" t="s">
        <v>70</v>
      </c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" t="s">
        <v>76</v>
      </c>
      <c r="B20" s="3" t="s">
        <v>80</v>
      </c>
      <c r="C20" s="3" t="s">
        <v>81</v>
      </c>
      <c r="D20" s="4">
        <v>350</v>
      </c>
      <c r="E20" s="5" t="s">
        <v>15</v>
      </c>
      <c r="F20" s="4">
        <v>200</v>
      </c>
      <c r="G20" s="4">
        <v>600</v>
      </c>
      <c r="H20" s="3" t="s">
        <v>22</v>
      </c>
      <c r="I20" s="3" t="s">
        <v>70</v>
      </c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3" t="s">
        <v>66</v>
      </c>
      <c r="B21" s="3" t="s">
        <v>82</v>
      </c>
      <c r="C21" s="3" t="s">
        <v>83</v>
      </c>
      <c r="D21" s="4">
        <v>14</v>
      </c>
      <c r="E21" s="5" t="s">
        <v>84</v>
      </c>
      <c r="F21" s="4">
        <v>13</v>
      </c>
      <c r="G21" s="4">
        <v>15</v>
      </c>
      <c r="H21" s="3" t="s">
        <v>45</v>
      </c>
      <c r="I21" s="3" t="s">
        <v>85</v>
      </c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09.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09.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H30" sqref="H30"/>
    </sheetView>
  </sheetViews>
  <sheetFormatPr defaultRowHeight="15" x14ac:dyDescent="0.25"/>
  <cols>
    <col min="1" max="1" width="24" customWidth="1"/>
    <col min="2" max="2" width="10" customWidth="1"/>
    <col min="3" max="3" width="12" customWidth="1"/>
    <col min="4" max="4" width="21" customWidth="1"/>
    <col min="5" max="5" width="18" customWidth="1"/>
    <col min="6" max="6" width="21" customWidth="1"/>
    <col min="7" max="7" width="18" customWidth="1"/>
    <col min="8" max="8" width="46" customWidth="1"/>
    <col min="9" max="9" width="45" customWidth="1"/>
  </cols>
  <sheetData>
    <row r="1" spans="1:26" ht="27.95" customHeight="1" x14ac:dyDescent="0.25">
      <c r="A1" s="28" t="s">
        <v>182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29" t="s">
        <v>183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3.75" x14ac:dyDescent="0.25">
      <c r="A5" s="16" t="s">
        <v>184</v>
      </c>
      <c r="B5" s="16" t="s">
        <v>4</v>
      </c>
      <c r="C5" s="16" t="s">
        <v>185</v>
      </c>
      <c r="D5" s="16" t="s">
        <v>186</v>
      </c>
      <c r="E5" s="16" t="s">
        <v>187</v>
      </c>
      <c r="F5" s="16" t="s">
        <v>188</v>
      </c>
      <c r="G5" s="16" t="s">
        <v>189</v>
      </c>
      <c r="H5" s="16" t="s">
        <v>190</v>
      </c>
      <c r="I5" s="16" t="s">
        <v>191</v>
      </c>
      <c r="J5" s="16" t="s">
        <v>192</v>
      </c>
      <c r="K5" s="16" t="s">
        <v>193</v>
      </c>
      <c r="L5" s="16" t="s">
        <v>118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 x14ac:dyDescent="0.25">
      <c r="A6" s="17" t="s">
        <v>194</v>
      </c>
      <c r="B6" s="17" t="s">
        <v>195</v>
      </c>
      <c r="C6" s="17" t="s">
        <v>196</v>
      </c>
      <c r="D6" s="18">
        <v>5200</v>
      </c>
      <c r="E6" s="19" t="s">
        <v>197</v>
      </c>
      <c r="F6" s="20">
        <v>0.4</v>
      </c>
      <c r="G6" s="17" t="s">
        <v>198</v>
      </c>
      <c r="H6" s="21">
        <v>5.2</v>
      </c>
      <c r="I6" s="21">
        <v>13</v>
      </c>
      <c r="J6" s="21">
        <v>13</v>
      </c>
      <c r="K6" s="17" t="s">
        <v>159</v>
      </c>
      <c r="L6" s="17" t="s">
        <v>199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3.75" x14ac:dyDescent="0.25">
      <c r="A7" s="17" t="s">
        <v>200</v>
      </c>
      <c r="B7" s="17" t="s">
        <v>201</v>
      </c>
      <c r="C7" s="17" t="s">
        <v>196</v>
      </c>
      <c r="D7" s="18">
        <v>5200</v>
      </c>
      <c r="E7" s="19" t="s">
        <v>202</v>
      </c>
      <c r="F7" s="20">
        <v>1</v>
      </c>
      <c r="G7" s="17" t="s">
        <v>203</v>
      </c>
      <c r="H7" s="21">
        <v>5.2</v>
      </c>
      <c r="I7" s="21">
        <v>5.2</v>
      </c>
      <c r="J7" s="21">
        <v>5.2</v>
      </c>
      <c r="K7" s="17" t="s">
        <v>159</v>
      </c>
      <c r="L7" s="17" t="s">
        <v>204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3.75" x14ac:dyDescent="0.25">
      <c r="A8" s="17" t="s">
        <v>205</v>
      </c>
      <c r="B8" s="17" t="s">
        <v>206</v>
      </c>
      <c r="C8" s="17" t="s">
        <v>206</v>
      </c>
      <c r="D8" s="18">
        <v>5200</v>
      </c>
      <c r="E8" s="19" t="s">
        <v>202</v>
      </c>
      <c r="F8" s="20">
        <v>1</v>
      </c>
      <c r="G8" s="17" t="s">
        <v>203</v>
      </c>
      <c r="H8" s="21">
        <v>5.2</v>
      </c>
      <c r="I8" s="21">
        <v>5.2</v>
      </c>
      <c r="J8" s="21">
        <v>5.2</v>
      </c>
      <c r="K8" s="17" t="s">
        <v>159</v>
      </c>
      <c r="L8" s="17" t="s">
        <v>204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4.75" x14ac:dyDescent="0.25">
      <c r="A9" s="17" t="s">
        <v>207</v>
      </c>
      <c r="B9" s="17" t="s">
        <v>208</v>
      </c>
      <c r="C9" s="17" t="s">
        <v>209</v>
      </c>
      <c r="D9" s="18">
        <v>55000</v>
      </c>
      <c r="E9" s="19" t="s">
        <v>210</v>
      </c>
      <c r="F9" s="20">
        <v>0.17</v>
      </c>
      <c r="G9" s="17" t="s">
        <v>198</v>
      </c>
      <c r="H9" s="21">
        <v>55</v>
      </c>
      <c r="I9" s="21">
        <v>323.52941176470586</v>
      </c>
      <c r="J9" s="21">
        <v>323.52941176470586</v>
      </c>
      <c r="K9" s="17" t="s">
        <v>211</v>
      </c>
      <c r="L9" s="17" t="s">
        <v>212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" x14ac:dyDescent="0.25">
      <c r="A10" s="17" t="s">
        <v>213</v>
      </c>
      <c r="B10" s="17" t="s">
        <v>214</v>
      </c>
      <c r="C10" s="17" t="s">
        <v>215</v>
      </c>
      <c r="D10" s="18">
        <v>24700</v>
      </c>
      <c r="E10" s="19" t="s">
        <v>210</v>
      </c>
      <c r="F10" s="20">
        <v>0.21</v>
      </c>
      <c r="G10" s="17" t="s">
        <v>198</v>
      </c>
      <c r="H10" s="21">
        <v>24.7</v>
      </c>
      <c r="I10" s="21">
        <v>117.61904761904762</v>
      </c>
      <c r="J10" s="21">
        <v>117.61904761904762</v>
      </c>
      <c r="K10" s="17" t="s">
        <v>159</v>
      </c>
      <c r="L10" s="17" t="s">
        <v>216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 x14ac:dyDescent="0.25">
      <c r="A11" s="17" t="s">
        <v>217</v>
      </c>
      <c r="B11" s="17" t="s">
        <v>218</v>
      </c>
      <c r="C11" s="17" t="s">
        <v>219</v>
      </c>
      <c r="D11" s="18">
        <v>24000</v>
      </c>
      <c r="E11" s="19" t="s">
        <v>210</v>
      </c>
      <c r="F11" s="20">
        <v>0.34399999999999997</v>
      </c>
      <c r="G11" s="17" t="s">
        <v>198</v>
      </c>
      <c r="H11" s="21">
        <v>24</v>
      </c>
      <c r="I11" s="21">
        <v>69.767441860465127</v>
      </c>
      <c r="J11" s="21">
        <v>69.767441860465127</v>
      </c>
      <c r="K11" s="17" t="s">
        <v>159</v>
      </c>
      <c r="L11" s="17" t="s">
        <v>220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0.25" x14ac:dyDescent="0.25">
      <c r="A12" s="17" t="s">
        <v>221</v>
      </c>
      <c r="B12" s="17" t="s">
        <v>222</v>
      </c>
      <c r="C12" s="17" t="s">
        <v>223</v>
      </c>
      <c r="D12" s="18">
        <v>60000</v>
      </c>
      <c r="E12" s="19" t="s">
        <v>202</v>
      </c>
      <c r="F12" s="20">
        <v>1</v>
      </c>
      <c r="G12" s="17" t="s">
        <v>203</v>
      </c>
      <c r="H12" s="21">
        <v>60</v>
      </c>
      <c r="I12" s="21">
        <v>60</v>
      </c>
      <c r="J12" s="21">
        <v>60</v>
      </c>
      <c r="K12" s="17" t="s">
        <v>22</v>
      </c>
      <c r="L12" s="17" t="s">
        <v>224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0.25" x14ac:dyDescent="0.25">
      <c r="A13" s="17" t="s">
        <v>225</v>
      </c>
      <c r="B13" s="17" t="s">
        <v>226</v>
      </c>
      <c r="C13" s="17" t="s">
        <v>227</v>
      </c>
      <c r="D13" s="18">
        <v>63800</v>
      </c>
      <c r="E13" s="19" t="s">
        <v>202</v>
      </c>
      <c r="F13" s="20">
        <v>1</v>
      </c>
      <c r="G13" s="17" t="s">
        <v>203</v>
      </c>
      <c r="H13" s="21">
        <v>63.8</v>
      </c>
      <c r="I13" s="21">
        <v>63.8</v>
      </c>
      <c r="J13" s="21">
        <v>63.8</v>
      </c>
      <c r="K13" s="17" t="s">
        <v>159</v>
      </c>
      <c r="L13" s="17" t="s">
        <v>224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x14ac:dyDescent="0.25">
      <c r="A14" s="17" t="s">
        <v>228</v>
      </c>
      <c r="B14" s="17" t="s">
        <v>229</v>
      </c>
      <c r="C14" s="17" t="s">
        <v>230</v>
      </c>
      <c r="D14" s="18">
        <v>35500</v>
      </c>
      <c r="E14" s="19" t="s">
        <v>210</v>
      </c>
      <c r="F14" s="20">
        <v>0.32</v>
      </c>
      <c r="G14" s="17" t="s">
        <v>198</v>
      </c>
      <c r="H14" s="21">
        <v>35.5</v>
      </c>
      <c r="I14" s="21">
        <v>110.9375</v>
      </c>
      <c r="J14" s="21">
        <v>110.9375</v>
      </c>
      <c r="K14" s="17" t="s">
        <v>159</v>
      </c>
      <c r="L14" s="17" t="s">
        <v>220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25" x14ac:dyDescent="0.25">
      <c r="A15" s="17" t="s">
        <v>231</v>
      </c>
      <c r="B15" s="17" t="s">
        <v>232</v>
      </c>
      <c r="C15" s="17" t="s">
        <v>233</v>
      </c>
      <c r="D15" s="18">
        <v>35500</v>
      </c>
      <c r="E15" s="19" t="s">
        <v>210</v>
      </c>
      <c r="F15" s="20">
        <v>0.46</v>
      </c>
      <c r="G15" s="17" t="s">
        <v>198</v>
      </c>
      <c r="H15" s="21">
        <v>35.5</v>
      </c>
      <c r="I15" s="21">
        <v>77.173913043478251</v>
      </c>
      <c r="J15" s="21">
        <v>77.173913043478251</v>
      </c>
      <c r="K15" s="17" t="s">
        <v>159</v>
      </c>
      <c r="L15" s="17" t="s">
        <v>220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6.5" x14ac:dyDescent="0.25">
      <c r="A16" s="17" t="s">
        <v>234</v>
      </c>
      <c r="B16" s="17" t="s">
        <v>235</v>
      </c>
      <c r="C16" s="17" t="s">
        <v>236</v>
      </c>
      <c r="D16" s="18">
        <v>35500</v>
      </c>
      <c r="E16" s="19" t="s">
        <v>210</v>
      </c>
      <c r="F16" s="20">
        <v>0.32</v>
      </c>
      <c r="G16" s="17" t="s">
        <v>198</v>
      </c>
      <c r="H16" s="21">
        <v>35.5</v>
      </c>
      <c r="I16" s="21">
        <v>110.9375</v>
      </c>
      <c r="J16" s="21">
        <v>110.9375</v>
      </c>
      <c r="K16" s="17" t="s">
        <v>237</v>
      </c>
      <c r="L16" s="17" t="s">
        <v>238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2" x14ac:dyDescent="0.25">
      <c r="A17" s="22" t="s">
        <v>239</v>
      </c>
      <c r="B17" s="22" t="s">
        <v>240</v>
      </c>
      <c r="C17" s="22" t="s">
        <v>233</v>
      </c>
      <c r="D17" s="18">
        <v>35500</v>
      </c>
      <c r="E17" s="19" t="s">
        <v>210</v>
      </c>
      <c r="F17" s="20">
        <v>0.46</v>
      </c>
      <c r="G17" s="22" t="s">
        <v>241</v>
      </c>
      <c r="H17" s="23">
        <v>35.5</v>
      </c>
      <c r="I17" s="23">
        <v>77.173913043478251</v>
      </c>
      <c r="J17" s="23" t="s">
        <v>242</v>
      </c>
      <c r="K17" s="22" t="s">
        <v>243</v>
      </c>
      <c r="L17" s="22" t="s">
        <v>244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2" x14ac:dyDescent="0.25">
      <c r="A18" s="17" t="s">
        <v>245</v>
      </c>
      <c r="B18" s="17" t="s">
        <v>246</v>
      </c>
      <c r="C18" s="17" t="s">
        <v>215</v>
      </c>
      <c r="D18" s="18">
        <v>24700</v>
      </c>
      <c r="E18" s="19" t="s">
        <v>210</v>
      </c>
      <c r="F18" s="20">
        <v>0.21</v>
      </c>
      <c r="G18" s="17" t="s">
        <v>198</v>
      </c>
      <c r="H18" s="21">
        <v>24.7</v>
      </c>
      <c r="I18" s="21">
        <v>117.61904761904762</v>
      </c>
      <c r="J18" s="21">
        <v>117.61904761904762</v>
      </c>
      <c r="K18" s="17" t="s">
        <v>159</v>
      </c>
      <c r="L18" s="17" t="s">
        <v>247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 x14ac:dyDescent="0.25">
      <c r="A19" s="14" t="s">
        <v>248</v>
      </c>
      <c r="B19" s="14" t="s">
        <v>249</v>
      </c>
      <c r="C19" s="14" t="s">
        <v>250</v>
      </c>
      <c r="D19" s="24">
        <v>4000</v>
      </c>
      <c r="E19" s="25" t="s">
        <v>141</v>
      </c>
      <c r="F19" s="26">
        <v>0.12659999999999999</v>
      </c>
      <c r="G19" s="14" t="s">
        <v>198</v>
      </c>
      <c r="H19" s="27">
        <v>4</v>
      </c>
      <c r="I19" s="27">
        <v>31.595576619273306</v>
      </c>
      <c r="J19" s="27">
        <v>31.595576619273306</v>
      </c>
      <c r="K19" s="14" t="s">
        <v>22</v>
      </c>
      <c r="L19" s="14" t="s">
        <v>251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2" x14ac:dyDescent="0.25">
      <c r="A20" s="14" t="s">
        <v>252</v>
      </c>
      <c r="B20" s="14" t="s">
        <v>253</v>
      </c>
      <c r="C20" s="14" t="s">
        <v>254</v>
      </c>
      <c r="D20" s="24">
        <v>63800</v>
      </c>
      <c r="E20" s="25" t="s">
        <v>141</v>
      </c>
      <c r="F20" s="26">
        <v>0.22689999999999999</v>
      </c>
      <c r="G20" s="14" t="s">
        <v>198</v>
      </c>
      <c r="H20" s="27">
        <v>63.8</v>
      </c>
      <c r="I20" s="27">
        <v>281.18113706478624</v>
      </c>
      <c r="J20" s="27">
        <v>281.18113706478624</v>
      </c>
      <c r="K20" s="14" t="s">
        <v>255</v>
      </c>
      <c r="L20" s="14" t="s">
        <v>256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6.5" x14ac:dyDescent="0.25">
      <c r="A21" s="14" t="s">
        <v>257</v>
      </c>
      <c r="B21" s="14" t="s">
        <v>258</v>
      </c>
      <c r="C21" s="14" t="s">
        <v>254</v>
      </c>
      <c r="D21" s="24">
        <v>63800</v>
      </c>
      <c r="E21" s="25" t="s">
        <v>141</v>
      </c>
      <c r="F21" s="26">
        <v>0.22689999999999999</v>
      </c>
      <c r="G21" s="14" t="s">
        <v>198</v>
      </c>
      <c r="H21" s="27">
        <v>63.8</v>
      </c>
      <c r="I21" s="27">
        <v>281.18113706478624</v>
      </c>
      <c r="J21" s="27">
        <v>281.18113706478624</v>
      </c>
      <c r="K21" s="14" t="s">
        <v>255</v>
      </c>
      <c r="L21" s="14" t="s">
        <v>259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29" t="s">
        <v>260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x14ac:dyDescent="0.25">
      <c r="A25" s="28" t="s">
        <v>261</v>
      </c>
      <c r="B25" s="28"/>
      <c r="C25" s="28"/>
      <c r="D25" s="28"/>
      <c r="E25" s="28"/>
      <c r="F25" s="28"/>
      <c r="G25" s="15"/>
      <c r="H25" s="15"/>
      <c r="I25" s="15"/>
      <c r="J25" s="15"/>
      <c r="K25" s="15"/>
      <c r="L25" s="1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31"/>
      <c r="B26" s="31"/>
      <c r="C26" s="31"/>
      <c r="D26" s="31"/>
      <c r="E26" s="31"/>
      <c r="F26" s="31"/>
      <c r="G26" s="15"/>
      <c r="H26" s="15"/>
      <c r="I26" s="15"/>
      <c r="J26" s="15"/>
      <c r="K26" s="15"/>
      <c r="L26" s="1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x14ac:dyDescent="0.25">
      <c r="A27" s="32" t="s">
        <v>262</v>
      </c>
      <c r="B27" s="32" t="s">
        <v>263</v>
      </c>
      <c r="C27" s="32" t="s">
        <v>264</v>
      </c>
      <c r="D27" s="32" t="s">
        <v>265</v>
      </c>
      <c r="E27" s="32" t="s">
        <v>266</v>
      </c>
      <c r="F27" s="32" t="s">
        <v>118</v>
      </c>
      <c r="G27" s="15"/>
      <c r="H27" s="15"/>
      <c r="I27" s="15"/>
      <c r="J27" s="15"/>
      <c r="K27" s="15"/>
      <c r="L27" s="1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1" x14ac:dyDescent="0.25">
      <c r="A28" s="33" t="s">
        <v>267</v>
      </c>
      <c r="B28" s="33" t="s">
        <v>268</v>
      </c>
      <c r="C28" s="33" t="s">
        <v>269</v>
      </c>
      <c r="D28" s="33" t="s">
        <v>270</v>
      </c>
      <c r="E28" s="33" t="s">
        <v>271</v>
      </c>
      <c r="F28" s="33" t="s">
        <v>272</v>
      </c>
      <c r="G28" s="15"/>
      <c r="H28" s="15"/>
      <c r="I28" s="15"/>
      <c r="J28" s="15"/>
      <c r="K28" s="15"/>
      <c r="L28" s="1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 x14ac:dyDescent="0.25">
      <c r="A29" s="33" t="s">
        <v>273</v>
      </c>
      <c r="B29" s="33" t="s">
        <v>274</v>
      </c>
      <c r="C29" s="33" t="s">
        <v>275</v>
      </c>
      <c r="D29" s="33" t="s">
        <v>276</v>
      </c>
      <c r="E29" s="33" t="s">
        <v>277</v>
      </c>
      <c r="F29" s="33" t="s">
        <v>278</v>
      </c>
      <c r="G29" s="15"/>
      <c r="H29" s="15"/>
      <c r="I29" s="15"/>
      <c r="J29" s="15"/>
      <c r="K29" s="15"/>
      <c r="L29" s="1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3.75" x14ac:dyDescent="0.25">
      <c r="A30" s="33" t="s">
        <v>239</v>
      </c>
      <c r="B30" s="33" t="s">
        <v>279</v>
      </c>
      <c r="C30" s="33" t="s">
        <v>280</v>
      </c>
      <c r="D30" s="33" t="s">
        <v>281</v>
      </c>
      <c r="E30" s="33" t="s">
        <v>282</v>
      </c>
      <c r="F30" s="33" t="s">
        <v>283</v>
      </c>
      <c r="G30" s="15"/>
      <c r="H30" s="15"/>
      <c r="I30" s="15"/>
      <c r="J30" s="15"/>
      <c r="K30" s="15"/>
      <c r="L30" s="1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6.5" x14ac:dyDescent="0.25">
      <c r="A31" s="33" t="s">
        <v>284</v>
      </c>
      <c r="B31" s="33" t="s">
        <v>285</v>
      </c>
      <c r="C31" s="33" t="s">
        <v>286</v>
      </c>
      <c r="D31" s="33" t="s">
        <v>287</v>
      </c>
      <c r="E31" s="33" t="s">
        <v>288</v>
      </c>
      <c r="F31" s="33" t="s">
        <v>289</v>
      </c>
      <c r="G31" s="15"/>
      <c r="H31" s="15"/>
      <c r="I31" s="15"/>
      <c r="J31" s="15"/>
      <c r="K31" s="15"/>
      <c r="L31" s="1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1" x14ac:dyDescent="0.25">
      <c r="A32" s="33" t="s">
        <v>290</v>
      </c>
      <c r="B32" s="33" t="s">
        <v>291</v>
      </c>
      <c r="C32" s="33" t="s">
        <v>292</v>
      </c>
      <c r="D32" s="33" t="s">
        <v>293</v>
      </c>
      <c r="E32" s="33" t="s">
        <v>294</v>
      </c>
      <c r="F32" s="33" t="s">
        <v>295</v>
      </c>
      <c r="G32" s="15"/>
      <c r="H32" s="15"/>
      <c r="I32" s="15"/>
      <c r="J32" s="15"/>
      <c r="K32" s="15"/>
      <c r="L32" s="1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8.25" x14ac:dyDescent="0.25">
      <c r="A33" s="33" t="s">
        <v>248</v>
      </c>
      <c r="B33" s="33" t="s">
        <v>291</v>
      </c>
      <c r="C33" s="33" t="s">
        <v>292</v>
      </c>
      <c r="D33" s="33" t="s">
        <v>296</v>
      </c>
      <c r="E33" s="33" t="s">
        <v>297</v>
      </c>
      <c r="F33" s="33" t="s">
        <v>298</v>
      </c>
      <c r="G33" s="15"/>
      <c r="H33" s="15"/>
      <c r="I33" s="15"/>
      <c r="J33" s="15"/>
      <c r="K33" s="15"/>
      <c r="L33" s="1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31"/>
      <c r="B34" s="31"/>
      <c r="C34" s="31"/>
      <c r="D34" s="31"/>
      <c r="E34" s="31"/>
      <c r="F34" s="31"/>
      <c r="G34" s="15"/>
      <c r="H34" s="15"/>
      <c r="I34" s="15"/>
      <c r="J34" s="15"/>
      <c r="K34" s="15"/>
      <c r="L34" s="1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30" t="s">
        <v>299</v>
      </c>
      <c r="B35" s="30"/>
      <c r="C35" s="30"/>
      <c r="D35" s="30"/>
      <c r="E35" s="30"/>
      <c r="F35" s="30"/>
      <c r="G35" s="15"/>
      <c r="H35" s="15"/>
      <c r="I35" s="15"/>
      <c r="J35" s="15"/>
      <c r="K35" s="15"/>
      <c r="L35" s="1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x14ac:dyDescent="0.25">
      <c r="A36" s="32" t="s">
        <v>153</v>
      </c>
      <c r="B36" s="32" t="s">
        <v>300</v>
      </c>
      <c r="C36" s="32" t="s">
        <v>9</v>
      </c>
      <c r="D36" s="31"/>
      <c r="E36" s="31"/>
      <c r="F36" s="31"/>
      <c r="G36" s="15"/>
      <c r="H36" s="15"/>
      <c r="I36" s="15"/>
      <c r="J36" s="15"/>
      <c r="K36" s="15"/>
      <c r="L36" s="1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4" x14ac:dyDescent="0.25">
      <c r="A37" s="33" t="s">
        <v>301</v>
      </c>
      <c r="B37" s="34" t="s">
        <v>86</v>
      </c>
      <c r="C37" s="33" t="s">
        <v>302</v>
      </c>
      <c r="D37" s="31"/>
      <c r="E37" s="31"/>
      <c r="F37" s="31"/>
      <c r="G37" s="15"/>
      <c r="H37" s="15"/>
      <c r="I37" s="15"/>
      <c r="J37" s="15"/>
      <c r="K37" s="15"/>
      <c r="L37" s="1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1" x14ac:dyDescent="0.25">
      <c r="A38" s="33" t="s">
        <v>230</v>
      </c>
      <c r="B38" s="34" t="s">
        <v>303</v>
      </c>
      <c r="C38" s="33" t="s">
        <v>304</v>
      </c>
      <c r="D38" s="31"/>
      <c r="E38" s="31"/>
      <c r="F38" s="31"/>
      <c r="G38" s="15"/>
      <c r="H38" s="15"/>
      <c r="I38" s="15"/>
      <c r="J38" s="15"/>
      <c r="K38" s="15"/>
      <c r="L38" s="1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x14ac:dyDescent="0.25">
      <c r="A39" s="33" t="s">
        <v>221</v>
      </c>
      <c r="B39" s="34" t="s">
        <v>305</v>
      </c>
      <c r="C39" s="33" t="s">
        <v>306</v>
      </c>
      <c r="D39" s="31"/>
      <c r="E39" s="31"/>
      <c r="F39" s="31"/>
      <c r="G39" s="15"/>
      <c r="H39" s="15"/>
      <c r="I39" s="15"/>
      <c r="J39" s="15"/>
      <c r="K39" s="15"/>
      <c r="L39" s="1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x14ac:dyDescent="0.25">
      <c r="A40" s="33" t="s">
        <v>248</v>
      </c>
      <c r="B40" s="34" t="s">
        <v>307</v>
      </c>
      <c r="C40" s="33" t="s">
        <v>306</v>
      </c>
      <c r="D40" s="31"/>
      <c r="E40" s="31"/>
      <c r="F40" s="31"/>
      <c r="G40" s="15"/>
      <c r="H40" s="15"/>
      <c r="I40" s="15"/>
      <c r="J40" s="15"/>
      <c r="K40" s="15"/>
      <c r="L40" s="1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1" x14ac:dyDescent="0.25">
      <c r="A41" s="33" t="s">
        <v>207</v>
      </c>
      <c r="B41" s="34" t="s">
        <v>308</v>
      </c>
      <c r="C41" s="33" t="s">
        <v>22</v>
      </c>
      <c r="D41" s="31"/>
      <c r="E41" s="31"/>
      <c r="F41" s="31"/>
      <c r="G41" s="15"/>
      <c r="H41" s="15"/>
      <c r="I41" s="15"/>
      <c r="J41" s="15"/>
      <c r="K41" s="15"/>
      <c r="L41" s="1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25:F25"/>
    <mergeCell ref="A35:F35"/>
    <mergeCell ref="A1:L1"/>
    <mergeCell ref="A2:L3"/>
    <mergeCell ref="A23:L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9"/>
  <sheetViews>
    <sheetView workbookViewId="0">
      <selection activeCell="B5" sqref="B5"/>
    </sheetView>
  </sheetViews>
  <sheetFormatPr defaultRowHeight="15" x14ac:dyDescent="0.25"/>
  <cols>
    <col min="1" max="1" width="18" customWidth="1"/>
    <col min="2" max="2" width="48" customWidth="1"/>
    <col min="3" max="3" width="16" customWidth="1"/>
    <col min="4" max="5" width="13" customWidth="1"/>
    <col min="6" max="6" width="14" customWidth="1"/>
  </cols>
  <sheetData>
    <row r="1" spans="1:26" ht="27.95" customHeight="1" x14ac:dyDescent="0.25">
      <c r="A1" s="10" t="s">
        <v>87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1" t="s">
        <v>88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3</v>
      </c>
      <c r="B3" s="2" t="s">
        <v>89</v>
      </c>
      <c r="C3" s="2" t="s">
        <v>90</v>
      </c>
      <c r="D3" s="2" t="s">
        <v>7</v>
      </c>
      <c r="E3" s="2" t="s">
        <v>8</v>
      </c>
      <c r="F3" s="2" t="s">
        <v>91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" t="s">
        <v>92</v>
      </c>
      <c r="B4" s="3" t="s">
        <v>93</v>
      </c>
      <c r="C4" s="8">
        <v>3000</v>
      </c>
      <c r="D4" s="8">
        <v>0</v>
      </c>
      <c r="E4" s="8">
        <v>5000</v>
      </c>
      <c r="F4" s="5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3" t="s">
        <v>94</v>
      </c>
      <c r="B5" s="3" t="s">
        <v>95</v>
      </c>
      <c r="C5" s="8">
        <v>300</v>
      </c>
      <c r="D5" s="8">
        <v>100</v>
      </c>
      <c r="E5" s="8">
        <v>500</v>
      </c>
      <c r="F5" s="5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3" t="s">
        <v>96</v>
      </c>
      <c r="B6" s="3" t="s">
        <v>97</v>
      </c>
      <c r="C6" s="8">
        <v>2500</v>
      </c>
      <c r="D6" s="8">
        <v>1500</v>
      </c>
      <c r="E6" s="8">
        <v>3500</v>
      </c>
      <c r="F6" s="5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3" t="s">
        <v>98</v>
      </c>
      <c r="B7" s="3" t="s">
        <v>99</v>
      </c>
      <c r="C7" s="8">
        <v>800</v>
      </c>
      <c r="D7" s="8">
        <v>0</v>
      </c>
      <c r="E7" s="8">
        <v>1500</v>
      </c>
      <c r="F7" s="5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" t="s">
        <v>100</v>
      </c>
      <c r="B8" s="3" t="s">
        <v>101</v>
      </c>
      <c r="C8" s="8">
        <v>4000</v>
      </c>
      <c r="D8" s="8">
        <v>3000</v>
      </c>
      <c r="E8" s="8">
        <v>6000</v>
      </c>
      <c r="F8" s="5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3" t="s">
        <v>102</v>
      </c>
      <c r="B9" s="3" t="s">
        <v>103</v>
      </c>
      <c r="C9" s="8">
        <v>2200</v>
      </c>
      <c r="D9" s="8">
        <v>1500</v>
      </c>
      <c r="E9" s="8">
        <v>3000</v>
      </c>
      <c r="F9" s="5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" t="s">
        <v>104</v>
      </c>
      <c r="B10" s="3" t="s">
        <v>105</v>
      </c>
      <c r="C10" s="8">
        <v>2000</v>
      </c>
      <c r="D10" s="8">
        <v>1000</v>
      </c>
      <c r="E10" s="8">
        <v>3000</v>
      </c>
      <c r="F10" s="5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3" t="s">
        <v>106</v>
      </c>
      <c r="B11" s="3" t="s">
        <v>107</v>
      </c>
      <c r="C11" s="8">
        <v>7200</v>
      </c>
      <c r="D11" s="8">
        <v>6000</v>
      </c>
      <c r="E11" s="8">
        <v>8400</v>
      </c>
      <c r="F11" s="5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3" t="s">
        <v>108</v>
      </c>
      <c r="B12" s="3" t="s">
        <v>109</v>
      </c>
      <c r="C12" s="8">
        <v>1000</v>
      </c>
      <c r="D12" s="8">
        <v>500</v>
      </c>
      <c r="E12" s="8">
        <v>1500</v>
      </c>
      <c r="F12" s="5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2" t="s">
        <v>110</v>
      </c>
      <c r="B13" s="12"/>
      <c r="C13" s="9">
        <f>SUMPRODUCT(C4:C12,F4:F12)</f>
        <v>23000</v>
      </c>
      <c r="D13" s="9">
        <f>SUMPRODUCT(D4:D12,F4:F12)</f>
        <v>13600</v>
      </c>
      <c r="E13" s="9">
        <f>SUMPRODUCT(E4:E12,F4:F12)</f>
        <v>32400</v>
      </c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09.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</sheetData>
  <mergeCells count="3">
    <mergeCell ref="A1:F1"/>
    <mergeCell ref="A2:F2"/>
    <mergeCell ref="A13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5"/>
  <sheetViews>
    <sheetView workbookViewId="0">
      <selection activeCell="B17" sqref="B17"/>
    </sheetView>
  </sheetViews>
  <sheetFormatPr defaultRowHeight="15" x14ac:dyDescent="0.25"/>
  <cols>
    <col min="1" max="1" width="15" customWidth="1"/>
    <col min="2" max="2" width="36" customWidth="1"/>
    <col min="3" max="3" width="16" customWidth="1"/>
    <col min="4" max="4" width="18" customWidth="1"/>
    <col min="5" max="5" width="15" customWidth="1"/>
    <col min="6" max="6" width="19" customWidth="1"/>
    <col min="7" max="7" width="34" customWidth="1"/>
    <col min="8" max="8" width="27" customWidth="1"/>
    <col min="9" max="9" width="24" customWidth="1"/>
    <col min="10" max="10" width="42" customWidth="1"/>
  </cols>
  <sheetData>
    <row r="1" spans="1:26" ht="27.95" customHeight="1" x14ac:dyDescent="0.25">
      <c r="A1" s="10" t="s">
        <v>181</v>
      </c>
      <c r="B1" s="10"/>
      <c r="C1" s="10"/>
      <c r="D1" s="10"/>
      <c r="E1" s="10"/>
      <c r="F1" s="10"/>
      <c r="G1" s="10"/>
      <c r="H1" s="10"/>
      <c r="I1" s="10"/>
      <c r="J1" s="1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1" t="s">
        <v>111</v>
      </c>
      <c r="B2" s="11"/>
      <c r="C2" s="11"/>
      <c r="D2" s="11"/>
      <c r="E2" s="11"/>
      <c r="F2" s="11"/>
      <c r="G2" s="11"/>
      <c r="H2" s="11"/>
      <c r="I2" s="1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2</v>
      </c>
      <c r="B3" s="2" t="s">
        <v>112</v>
      </c>
      <c r="C3" s="2" t="s">
        <v>3</v>
      </c>
      <c r="D3" s="2" t="s">
        <v>6</v>
      </c>
      <c r="E3" s="2" t="s">
        <v>113</v>
      </c>
      <c r="F3" s="2" t="s">
        <v>114</v>
      </c>
      <c r="G3" s="2" t="s">
        <v>115</v>
      </c>
      <c r="H3" s="2" t="s">
        <v>116</v>
      </c>
      <c r="I3" s="2" t="s">
        <v>117</v>
      </c>
      <c r="J3" s="2" t="s">
        <v>118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" t="s">
        <v>45</v>
      </c>
      <c r="B4" s="13" t="s">
        <v>119</v>
      </c>
      <c r="C4" s="13" t="s">
        <v>120</v>
      </c>
      <c r="D4" s="13" t="s">
        <v>121</v>
      </c>
      <c r="E4" s="3" t="s">
        <v>122</v>
      </c>
      <c r="F4" s="3" t="s">
        <v>123</v>
      </c>
      <c r="G4" s="3" t="s">
        <v>124</v>
      </c>
      <c r="H4" s="3" t="s">
        <v>45</v>
      </c>
      <c r="I4" s="3" t="s">
        <v>125</v>
      </c>
      <c r="J4" s="3" t="s">
        <v>126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3" t="s">
        <v>25</v>
      </c>
      <c r="B5" s="13" t="s">
        <v>127</v>
      </c>
      <c r="C5" s="13" t="s">
        <v>128</v>
      </c>
      <c r="D5" s="13" t="s">
        <v>129</v>
      </c>
      <c r="E5" s="3" t="s">
        <v>122</v>
      </c>
      <c r="F5" s="3" t="s">
        <v>123</v>
      </c>
      <c r="G5" s="3" t="s">
        <v>130</v>
      </c>
      <c r="H5" s="3" t="s">
        <v>131</v>
      </c>
      <c r="I5" s="3" t="s">
        <v>132</v>
      </c>
      <c r="J5" s="3" t="s">
        <v>133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3" t="s">
        <v>25</v>
      </c>
      <c r="B6" s="13" t="s">
        <v>134</v>
      </c>
      <c r="C6" s="13" t="s">
        <v>135</v>
      </c>
      <c r="D6" s="13" t="s">
        <v>136</v>
      </c>
      <c r="E6" s="3" t="s">
        <v>122</v>
      </c>
      <c r="F6" s="3" t="s">
        <v>123</v>
      </c>
      <c r="G6" s="3" t="s">
        <v>137</v>
      </c>
      <c r="H6" s="3" t="s">
        <v>131</v>
      </c>
      <c r="I6" s="3" t="s">
        <v>138</v>
      </c>
      <c r="J6" s="3" t="s">
        <v>139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3" t="s">
        <v>25</v>
      </c>
      <c r="B7" s="13" t="s">
        <v>140</v>
      </c>
      <c r="C7" s="13" t="s">
        <v>141</v>
      </c>
      <c r="D7" s="13" t="s">
        <v>142</v>
      </c>
      <c r="E7" s="3" t="s">
        <v>122</v>
      </c>
      <c r="F7" s="3" t="s">
        <v>123</v>
      </c>
      <c r="G7" s="3" t="s">
        <v>143</v>
      </c>
      <c r="H7" s="3" t="s">
        <v>131</v>
      </c>
      <c r="I7" s="3" t="s">
        <v>144</v>
      </c>
      <c r="J7" s="3" t="s">
        <v>145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3" t="s">
        <v>25</v>
      </c>
      <c r="B8" s="13" t="s">
        <v>146</v>
      </c>
      <c r="C8" s="13" t="s">
        <v>147</v>
      </c>
      <c r="D8" s="13" t="s">
        <v>148</v>
      </c>
      <c r="E8" s="3" t="s">
        <v>122</v>
      </c>
      <c r="F8" s="3" t="s">
        <v>123</v>
      </c>
      <c r="G8" s="3" t="s">
        <v>149</v>
      </c>
      <c r="H8" s="3" t="s">
        <v>150</v>
      </c>
      <c r="I8" s="3" t="s">
        <v>151</v>
      </c>
      <c r="J8" s="3" t="s">
        <v>152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sqref="A1:D1"/>
    </sheetView>
  </sheetViews>
  <sheetFormatPr defaultRowHeight="15" x14ac:dyDescent="0.25"/>
  <cols>
    <col min="1" max="1" width="24" customWidth="1"/>
    <col min="2" max="3" width="58" customWidth="1"/>
    <col min="4" max="4" width="24" customWidth="1"/>
  </cols>
  <sheetData>
    <row r="1" spans="1:26" ht="27.95" customHeight="1" x14ac:dyDescent="0.25">
      <c r="A1" s="10" t="s">
        <v>154</v>
      </c>
      <c r="B1" s="10"/>
      <c r="C1" s="10"/>
      <c r="D1" s="1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153</v>
      </c>
      <c r="B2" s="2" t="s">
        <v>155</v>
      </c>
      <c r="C2" s="2" t="s">
        <v>156</v>
      </c>
      <c r="D2" s="2" t="s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x14ac:dyDescent="0.25">
      <c r="A3" s="3" t="s">
        <v>157</v>
      </c>
      <c r="B3" s="3" t="s">
        <v>158</v>
      </c>
      <c r="C3" s="3" t="s">
        <v>18</v>
      </c>
      <c r="D3" s="3" t="s">
        <v>159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 x14ac:dyDescent="0.25">
      <c r="A4" s="3" t="s">
        <v>160</v>
      </c>
      <c r="B4" s="3" t="s">
        <v>161</v>
      </c>
      <c r="C4" s="3" t="s">
        <v>86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x14ac:dyDescent="0.25">
      <c r="A5" s="3" t="s">
        <v>162</v>
      </c>
      <c r="B5" s="3" t="s">
        <v>163</v>
      </c>
      <c r="C5" s="3" t="s">
        <v>30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3" t="s">
        <v>36</v>
      </c>
      <c r="B6" s="3" t="s">
        <v>164</v>
      </c>
      <c r="C6" s="3" t="s">
        <v>38</v>
      </c>
      <c r="D6" s="3" t="s">
        <v>159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3" t="s">
        <v>165</v>
      </c>
      <c r="B7" s="3" t="s">
        <v>166</v>
      </c>
      <c r="C7" s="3" t="s">
        <v>51</v>
      </c>
      <c r="D7" s="3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" t="s">
        <v>55</v>
      </c>
      <c r="B8" s="3" t="s">
        <v>167</v>
      </c>
      <c r="C8" s="3" t="s">
        <v>61</v>
      </c>
      <c r="D8" s="3" t="s">
        <v>159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x14ac:dyDescent="0.25">
      <c r="A9" s="3" t="s">
        <v>168</v>
      </c>
      <c r="B9" s="3" t="s">
        <v>169</v>
      </c>
      <c r="C9" s="3" t="s">
        <v>170</v>
      </c>
      <c r="D9" s="3" t="s">
        <v>171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" t="s">
        <v>172</v>
      </c>
      <c r="B10" s="3" t="s">
        <v>173</v>
      </c>
      <c r="C10" s="3" t="s">
        <v>174</v>
      </c>
      <c r="D10" s="3" t="s">
        <v>171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25">
      <c r="A11" s="3" t="s">
        <v>175</v>
      </c>
      <c r="B11" s="3" t="s">
        <v>176</v>
      </c>
      <c r="C11" s="3" t="s">
        <v>177</v>
      </c>
      <c r="D11" s="3" t="s">
        <v>171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x14ac:dyDescent="0.25">
      <c r="A12" s="3" t="s">
        <v>178</v>
      </c>
      <c r="B12" s="3" t="s">
        <v>179</v>
      </c>
      <c r="C12" s="3"/>
      <c r="D12" s="3" t="s">
        <v>180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Цены</vt:lpstr>
      <vt:lpstr>Удобрения</vt:lpstr>
      <vt:lpstr>Константа C</vt:lpstr>
      <vt:lpstr>Параметры APSIM</vt:lpstr>
      <vt:lpstr>Источники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Варламова Анна Борисовна</dc:creator>
  <cp:lastModifiedBy>Варламова Анна Борисовна</cp:lastModifiedBy>
  <dcterms:created xsi:type="dcterms:W3CDTF">2026-07-03T14:44:01Z</dcterms:created>
  <dcterms:modified xsi:type="dcterms:W3CDTF">2026-07-03T14:44:01Z</dcterms:modified>
</cp:coreProperties>
</file>