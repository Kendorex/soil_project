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194946602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атко" sheetId="1" r:id="Rc9f20f259f0049f0"/>
    <x:sheet xmlns:r="http://schemas.openxmlformats.org/officeDocument/2006/relationships" name="Удобрения APSIM" sheetId="2" r:id="R047da2d8c31e4945"/>
    <x:sheet xmlns:r="http://schemas.openxmlformats.org/officeDocument/2006/relationships" name="WheatSoil вода" sheetId="3" r:id="R49b6eecb8ea54903"/>
    <x:sheet xmlns:r="http://schemas.openxmlformats.org/officeDocument/2006/relationships" name="План варьирования" sheetId="4" r:id="Rb0bd0f2c03b04aac"/>
    <x:sheet xmlns:r="http://schemas.openxmlformats.org/officeDocument/2006/relationships" name="Сорт Wheat" sheetId="5" r:id="Rcd971e6b424146bb"/>
    <x:sheet xmlns:r="http://schemas.openxmlformats.org/officeDocument/2006/relationships" name="Примечания" sheetId="6" r:id="R0f3fbb90ec50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6">
    <x:font>
      <x:sz val="11"/>
      <x:name val="Carlito"/>
    </x:font>
    <x:font>
      <x:b/>
      <x:sz val="15"/>
      <x:color rgb="FFFFFF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E7E6E6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  <x:fill>
      <x:patternFill patternType="solid">
        <x:fgColor rgb="E2F0F8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1" fontId="5" fillId="7" borderId="0" xfId="0" applyNumberFormat="1" applyFont="1" applyFill="1" applyBorder="1"/>
    <x:xf numFmtId="201" fontId="5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201" fontId="5" fillId="7" borderId="0" xfId="0" applyNumberFormat="1" applyFont="1" applyFill="1" applyBorder="1" applyAlignment="1">
      <x:alignment wrapText="1"/>
    </x:xf>
    <x:xf numFmtId="201" fontId="5" fillId="7" borderId="1" xfId="0" applyNumberFormat="1" applyFont="1" applyFill="1" applyBorder="1" applyAlignment="1">
      <x:alignment wrapText="1"/>
    </x:xf>
    <x:xf numFmtId="201" fontId="5" fillId="7" borderId="0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de4fa0cd74931" /><Relationship Type="http://schemas.openxmlformats.org/officeDocument/2006/relationships/theme" Target="/xl/theme/theme1.xml" Id="R12634f7e7602408c" /><Relationship Type="http://schemas.openxmlformats.org/officeDocument/2006/relationships/sharedStrings" Target="/xl/sharedStrings.xml" Id="Rd44204f90d264fed" /><Relationship Type="http://schemas.openxmlformats.org/officeDocument/2006/relationships/worksheet" Target="/xl/worksheets/sheet1.xml" Id="Rc9f20f259f0049f0" /><Relationship Type="http://schemas.openxmlformats.org/officeDocument/2006/relationships/worksheet" Target="/xl/worksheets/sheet2.xml" Id="R047da2d8c31e4945" /><Relationship Type="http://schemas.openxmlformats.org/officeDocument/2006/relationships/worksheet" Target="/xl/worksheets/sheet3.xml" Id="R49b6eecb8ea54903" /><Relationship Type="http://schemas.openxmlformats.org/officeDocument/2006/relationships/worksheet" Target="/xl/worksheets/sheet4.xml" Id="Rb0bd0f2c03b04aac" /><Relationship Type="http://schemas.openxmlformats.org/officeDocument/2006/relationships/worksheet" Target="/xl/worksheets/sheet5.xml" Id="Rcd971e6b424146bb" /><Relationship Type="http://schemas.openxmlformats.org/officeDocument/2006/relationships/worksheet" Target="/xl/worksheets/sheet6.xml" Id="R0f3fbb90ec504ebb" /></Relationships>
</file>

<file path=xl/tables/table1.xml><?xml version="1.0" encoding="utf-8"?>
<x:table xmlns:x="http://schemas.openxmlformats.org/spreadsheetml/2006/main" id="1" name="FertiliserTable" displayName="FertiliserTable" ref="A3:I19" headerRowCount="1">
  <x:tableColumns count="9">
    <x:tableColumn id="1" name="Тип APSIM"/>
    <x:tableColumn id="2" name="Группа"/>
    <x:tableColumn id="3" name="Что означает"/>
    <x:tableColumn id="4" name="Что даёт в модель"/>
    <x:tableColumn id="5" name="Влияние на пшеницу"/>
    <x:tableColumn id="6" name="Рекомендуемый диапазон"/>
    <x:tableColumn id="7" name="Варьировать?"/>
    <x:tableColumn id="8" name="Важность"/>
    <x:tableColumn id="9" name="Комментарии/риски"/>
  </x:tableColumns>
  <x:tableStyleInfo name="TableStyleMedium2" showRowStripes="1"/>
</x:table>
</file>

<file path=xl/tables/table2.xml><?xml version="1.0" encoding="utf-8"?>
<x:table xmlns:x="http://schemas.openxmlformats.org/spreadsheetml/2006/main" id="2" name="WheatSoilParamTable" displayName="WheatSoilParamTable" ref="A3:H8" headerRowCount="1">
  <x:tableColumns count="8">
    <x:tableColumn id="1" name="Параметр"/>
    <x:tableColumn id="2" name="Единицы"/>
    <x:tableColumn id="3" name="Что означает"/>
    <x:tableColumn id="4" name="Как влияет"/>
    <x:tableColumn id="5" name="Что можно варьировать"/>
    <x:tableColumn id="6" name="Безопасный диапазон/сценарий"/>
    <x:tableColumn id="7" name="Важность"/>
    <x:tableColumn id="8" name="Осторожность"/>
  </x:tableColumns>
  <x:tableStyleInfo name="TableStyleMedium2" showRowStripes="1"/>
</x:table>
</file>

<file path=xl/tables/table3.xml><?xml version="1.0" encoding="utf-8"?>
<x:table xmlns:x="http://schemas.openxmlformats.org/spreadsheetml/2006/main" id="3" name="WheatSoilValuesTable" displayName="WheatSoilValuesTable" ref="A11:F18" headerRowCount="1">
  <x:tableColumns count="6">
    <x:tableColumn id="1" name="Depth"/>
    <x:tableColumn id="2" name="LL"/>
    <x:tableColumn id="3" name="KL"/>
    <x:tableColumn id="4" name="XF"/>
    <x:tableColumn id="5" name="PAWC"/>
    <x:tableColumn id="6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VariationPlanTable" displayName="VariationPlanTable" ref="A3:G10" headerRowCount="1">
  <x:tableColumns count="7">
    <x:tableColumn id="1" name="Эксперимент"/>
    <x:tableColumn id="2" name="Что менять"/>
    <x:tableColumn id="3" name="Значения"/>
    <x:tableColumn id="4" name="Что фиксировать"/>
    <x:tableColumn id="5" name="Что смотреть в отчёте"/>
    <x:tableColumn id="6" name="Почему важно"/>
    <x:tableColumn id="7" name="Приоритет"/>
  </x:tableColumns>
  <x:tableStyleInfo name="TableStyleMedium2" showRowStripes="1"/>
</x:table>
</file>

<file path=xl/tables/table5.xml><?xml version="1.0" encoding="utf-8"?>
<x:table xmlns:x="http://schemas.openxmlformats.org/spreadsheetml/2006/main" id="5" name="CultivarTable" displayName="CultivarTable" ref="A3:E8" headerRowCount="1">
  <x:tableColumns count="5">
    <x:tableColumn id="1" name="Вопрос"/>
    <x:tableColumn id="2" name="Ответ"/>
    <x:tableColumn id="3" name="Где искать"/>
    <x:tableColumn id="4" name="Что менять"/>
    <x:tableColumn id="5" name="Важн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8fecfd50fa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4f0ed2d1f148a8" /><Relationship Type="http://schemas.openxmlformats.org/officeDocument/2006/relationships/table" Target="/xl/tables/table3.xml" Id="R19042fee612e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911cb1522c4b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bb1ed5074042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8" hidden="0" customWidth="1"/>
    <x:col min="4" max="4" width="18" hidden="0" customWidth="1"/>
  </x:cols>
  <x:sheetData>
    <x:row r="1" ht="26" customHeight="1">
      <x:c r="A1" s="72" t="str">
        <x:v>APSIM Wheat: удобрения и параметры WheatSoil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Блок</x:v>
      </x:c>
      <x:c r="B3" s="74" t="str">
        <x:v>Что важно</x:v>
      </x:c>
      <x:c r="C3" s="74" t="str">
        <x:v>Где смотреть/менять</x:v>
      </x:c>
      <x:c r="D3" s="74" t="str">
        <x:v>Приоритет</x:v>
      </x:c>
      <x:c r="E3" s="73"/>
      <x:c r="F3" s="73"/>
      <x:c r="G3" s="73"/>
      <x:c r="H3" s="73"/>
      <x:c r="I3" s="73"/>
    </x:row>
    <x:row r="4">
      <x:c r="A4" s="20" t="str">
        <x:v>Fertiliser</x:v>
      </x:c>
      <x:c r="B4" s="20" t="str">
        <x:v>Для пшеницы в первую очередь варьировать азотные формы: UreaN, NH4NO3N, UAN_N, NO3N/NH4N.</x:v>
      </x:c>
      <x:c r="C4" s="20" t="str">
        <x:v>Fertiliser → Type of fertiliser + Amount kg/ha + даты внесения в менеджере</x:v>
      </x:c>
      <x:c r="D4" s="26" t="str">
        <x:v>Очень важно</x:v>
      </x:c>
      <x:c r="E4" s="73"/>
      <x:c r="F4" s="73"/>
      <x:c r="G4" s="73"/>
      <x:c r="H4" s="73"/>
      <x:c r="I4" s="73"/>
    </x:row>
    <x:row r="5">
      <x:c r="A5" s="20" t="str">
        <x:v>Фосфор</x:v>
      </x:c>
      <x:c r="B5" s="20" t="str">
        <x:v>MAP/DAP/BandedP/BroadcastP полезны, если задача про стартовое питание и P-дефицит. DAP/MAP дают ещё и N.</x:v>
      </x:c>
      <x:c r="C5" s="20" t="str">
        <x:v>Fertiliser + Soil → Nutrient/SoilWater/Chemical, если включены нужные процессы</x:v>
      </x:c>
      <x:c r="D5" s="30" t="str">
        <x:v>Важно</x:v>
      </x:c>
      <x:c r="E5" s="73"/>
      <x:c r="F5" s="73"/>
      <x:c r="G5" s="73"/>
      <x:c r="H5" s="73"/>
      <x:c r="I5" s="73"/>
    </x:row>
    <x:row r="6">
      <x:c r="A6" s="20" t="str">
        <x:v>Известь / Ca / Mg</x:v>
      </x:c>
      <x:c r="B6" s="20" t="str">
        <x:v>CalciteCA, CalciteFine, Dolomite имеют смысл только при моделировании кислотности/pH/Ca/Mg. Для обычного урожая могут почти не влиять.</x:v>
      </x:c>
      <x:c r="C6" s="20" t="str">
        <x:v>Soil → Chemical и наличие нужных solute/pool</x:v>
      </x:c>
      <x:c r="D6" s="34" t="str">
        <x:v>Средне</x:v>
      </x:c>
      <x:c r="E6" s="73"/>
      <x:c r="F6" s="73"/>
      <x:c r="G6" s="73"/>
      <x:c r="H6" s="73"/>
      <x:c r="I6" s="73"/>
    </x:row>
    <x:row r="7">
      <x:c r="A7" s="20" t="str">
        <x:v>WheatSoil: LL</x:v>
      </x:c>
      <x:c r="B7" s="20" t="str">
        <x:v>Нижний предел воды для пшеницы. Лучше не трогать без калибровки.</x:v>
      </x:c>
      <x:c r="C7" s="20" t="str">
        <x:v>Soil → Physical → WheatSoil</x:v>
      </x:c>
      <x:c r="D7" s="30" t="str">
        <x:v>Важно, но осторожно</x:v>
      </x:c>
      <x:c r="E7" s="73"/>
      <x:c r="F7" s="73"/>
      <x:c r="G7" s="73"/>
      <x:c r="H7" s="73"/>
      <x:c r="I7" s="73"/>
    </x:row>
    <x:row r="8">
      <x:c r="A8" s="20" t="str">
        <x:v>WheatSoil: KL</x:v>
      </x:c>
      <x:c r="B8" s="20" t="str">
        <x:v>Скорость извлечения воды корнями. Удобный параметр для чувствительности корневой активности.</x:v>
      </x:c>
      <x:c r="C8" s="20" t="str">
        <x:v>Soil → Physical → WheatSoil</x:v>
      </x:c>
      <x:c r="D8" s="26" t="str">
        <x:v>Очень важно</x:v>
      </x:c>
      <x:c r="E8" s="73"/>
      <x:c r="F8" s="73"/>
      <x:c r="G8" s="73"/>
      <x:c r="H8" s="73"/>
      <x:c r="I8" s="73"/>
    </x:row>
    <x:row r="9">
      <x:c r="A9" s="20" t="str">
        <x:v>WheatSoil: XF</x:v>
      </x:c>
      <x:c r="B9" s="20" t="str">
        <x:v>Доступность слоя для корней. Можно моделировать плотный/токсичный/недоступный горизонт.</x:v>
      </x:c>
      <x:c r="C9" s="20" t="str">
        <x:v>Soil → Physical → WheatSoil</x:v>
      </x:c>
      <x:c r="D9" s="26" t="str">
        <x:v>Очень важно</x:v>
      </x:c>
      <x:c r="E9" s="73"/>
      <x:c r="F9" s="73"/>
      <x:c r="G9" s="73"/>
      <x:c r="H9" s="73"/>
      <x:c r="I9" s="73"/>
    </x:row>
    <x:row r="10">
      <x:c r="A10" s="20" t="str">
        <x:v>Сорт пшеницы</x:v>
      </x:c>
      <x:c r="B10" s="20" t="str">
        <x:v>В APSIM нет одного “сорта вообще”: сорт задаётся cultivar-параметрами, часто в .apsimx/Replacements/Manager.</x:v>
      </x:c>
      <x:c r="C10" s="20" t="str">
        <x:v>Wheat / Sowing rule / Cultivar; Replacements → Cultivars</x:v>
      </x:c>
      <x:c r="D10" s="26" t="str">
        <x:v>Очень важно</x:v>
      </x:c>
      <x:c r="E10" s="73"/>
      <x:c r="F10" s="73"/>
      <x:c r="G10" s="73"/>
      <x:c r="H10" s="73"/>
      <x:c r="I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</x:row>
    <x:row r="12">
      <x:c r="A12" s="75" t="str">
        <x:v>Рекомендация для экспериментов</x:v>
      </x:c>
      <x:c r="B12" s="73"/>
      <x:c r="C12" s="73"/>
      <x:c r="D12" s="73"/>
      <x:c r="E12" s="73"/>
      <x:c r="F12" s="73"/>
      <x:c r="G12" s="73"/>
      <x:c r="H12" s="73"/>
      <x:c r="I12" s="73"/>
    </x:row>
    <x:row r="13">
      <x:c r="A13" s="76" t="str">
        <x:v>1</x:v>
      </x:c>
      <x:c r="B13" s="20" t="str">
        <x:v>Не варьировать все удобрения сразу. Сначала сделать N-сценарии: 0, 30, 60, 90, 120, 150, 180, 210 кг N/га.</x:v>
      </x:c>
      <x:c r="C13" s="73"/>
      <x:c r="D13" s="73"/>
      <x:c r="E13" s="73"/>
      <x:c r="F13" s="73"/>
      <x:c r="G13" s="73"/>
      <x:c r="H13" s="73"/>
      <x:c r="I13" s="73"/>
    </x:row>
    <x:row r="14">
      <x:c r="A14" s="76" t="str">
        <x:v>2</x:v>
      </x:c>
      <x:c r="B14" s="20" t="str">
        <x:v>Для сравнения форм N взять 3 варианта: UreaN, NH4NO3N, UAN_N.</x:v>
      </x:c>
      <x:c r="C14" s="73"/>
      <x:c r="D14" s="73"/>
      <x:c r="E14" s="73"/>
      <x:c r="F14" s="73"/>
      <x:c r="G14" s="73"/>
      <x:c r="H14" s="73"/>
      <x:c r="I14" s="73"/>
    </x:row>
    <x:row r="15">
      <x:c r="A15" s="76" t="str">
        <x:v>3</x:v>
      </x:c>
      <x:c r="B15" s="20" t="str">
        <x:v>Для P отдельно сравнить MAP/DAP и BandedP/BroadcastP: 0, 10, 20, 30, 40, 60 кг P/га.</x:v>
      </x:c>
      <x:c r="C15" s="73"/>
      <x:c r="D15" s="73"/>
      <x:c r="E15" s="73"/>
      <x:c r="F15" s="73"/>
      <x:c r="G15" s="73"/>
      <x:c r="H15" s="73"/>
      <x:c r="I15" s="73"/>
    </x:row>
    <x:row r="16">
      <x:c r="A16" s="76" t="str">
        <x:v>4</x:v>
      </x:c>
      <x:c r="B16" s="20" t="str">
        <x:v>KL можно тестировать множителями 0.7 / 1.0 / 1.3; XF — для сценария ограничения корней на глубине.</x:v>
      </x:c>
      <x:c r="C16" s="73"/>
      <x:c r="D16" s="73"/>
      <x:c r="E16" s="73"/>
      <x:c r="F16" s="73"/>
      <x:c r="G16" s="73"/>
      <x:c r="H16" s="73"/>
      <x:c r="I16" s="73"/>
    </x:row>
    <x:row r="17">
      <x:c r="A17" s="76" t="str">
        <x:v>5</x:v>
      </x:c>
      <x:c r="B17" s="20" t="str">
        <x:v>Сорт/cultivar менять отдельно от удобрений, иначе будет сложно понять, что именно повлияло на результат.</x:v>
      </x:c>
      <x:c r="C17" s="73"/>
      <x:c r="D17" s="73"/>
      <x:c r="E17" s="73"/>
      <x:c r="F17" s="73"/>
      <x:c r="G17" s="73"/>
      <x:c r="H17" s="73"/>
      <x:c r="I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4" hidden="0" customWidth="1"/>
    <x:col min="5" max="5" width="42" hidden="0" customWidth="1"/>
    <x:col min="6" max="6" width="34" hidden="0" customWidth="1"/>
    <x:col min="7" max="7" width="18" hidden="0" customWidth="1"/>
    <x:col min="8" max="8" width="16" hidden="0" customWidth="1"/>
    <x:col min="9" max="9" width="34" hidden="0" customWidth="1"/>
  </x:cols>
  <x:sheetData>
    <x:row r="1" ht="26" customHeight="1">
      <x:c r="A1" s="72" t="str">
        <x:v>Типы удобрений в APSIM Fertiliser и влияние на пшеницу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Тип APSIM</x:v>
      </x:c>
      <x:c r="B3" s="74" t="str">
        <x:v>Группа</x:v>
      </x:c>
      <x:c r="C3" s="74" t="str">
        <x:v>Что означает</x:v>
      </x:c>
      <x:c r="D3" s="74" t="str">
        <x:v>Что даёт в модель</x:v>
      </x:c>
      <x:c r="E3" s="74" t="str">
        <x:v>Влияние на пшеницу</x:v>
      </x:c>
      <x:c r="F3" s="74" t="str">
        <x:v>Рекомендуемый диапазон</x:v>
      </x:c>
      <x:c r="G3" s="74" t="str">
        <x:v>Варьировать?</x:v>
      </x:c>
      <x:c r="H3" s="74" t="str">
        <x:v>Важность</x:v>
      </x:c>
      <x:c r="I3" s="74" t="str">
        <x:v>Комментарии/риски</x:v>
      </x:c>
    </x:row>
    <x:row r="4">
      <x:c r="A4" s="20" t="str">
        <x:v>CalciteCA</x:v>
      </x:c>
      <x:c r="B4" s="20" t="str">
        <x:v>Известь/Ca</x:v>
      </x:c>
      <x:c r="C4" s="20" t="str">
        <x:v>Кальцитовая известь / карбонат кальция</x:v>
      </x:c>
      <x:c r="D4" s="20" t="str">
        <x:v>Ca, коррекция pH при наличии соответствующих процессов</x:v>
      </x:c>
      <x:c r="E4" s="20" t="str">
        <x:v>Может снизить кислотный стресс, улучшить доступность элементов на кислых почвах</x:v>
      </x:c>
      <x:c r="F4" s="20" t="str">
        <x:v>0; 500; 1000; 2000; 3000–5000 кг/га</x:v>
      </x:c>
      <x:c r="G4" s="32" t="str">
        <x:v>Только если есть pH/Ca-задача</x:v>
      </x:c>
      <x:c r="H4" s="50" t="str">
        <x:v>Средняя</x:v>
      </x:c>
      <x:c r="I4" s="20" t="str">
        <x:v>Может не дать эффекта, если кислотность не моделируется</x:v>
      </x:c>
    </x:row>
    <x:row r="5">
      <x:c r="A5" s="20" t="str">
        <x:v>CalciteFine</x:v>
      </x:c>
      <x:c r="B5" s="20" t="str">
        <x:v>Известь/Ca</x:v>
      </x:c>
      <x:c r="C5" s="20" t="str">
        <x:v>Мелкая фракция кальцита</x:v>
      </x:c>
      <x:c r="D5" s="20" t="str">
        <x:v>Ca, более быстрое известкование</x:v>
      </x:c>
      <x:c r="E5" s="20" t="str">
        <x:v>Похоже на CalciteCA, потенциально быстрее действие</x:v>
      </x:c>
      <x:c r="F5" s="20" t="str">
        <x:v>0; 500; 1000; 2000; 3000–5000 кг/га</x:v>
      </x:c>
      <x:c r="G5" s="32" t="str">
        <x:v>Редко</x:v>
      </x:c>
      <x:c r="H5" s="50" t="str">
        <x:v>Средняя</x:v>
      </x:c>
      <x:c r="I5" s="20" t="str">
        <x:v>Нужны pH/Ca-пулы</x:v>
      </x:c>
    </x:row>
    <x:row r="6">
      <x:c r="A6" s="20" t="str">
        <x:v>Dolomite</x:v>
      </x:c>
      <x:c r="B6" s="20" t="str">
        <x:v>Известь/Ca/Mg</x:v>
      </x:c>
      <x:c r="C6" s="20" t="str">
        <x:v>Доломитовая известь</x:v>
      </x:c>
      <x:c r="D6" s="20" t="str">
        <x:v>Ca + Mg, коррекция pH</x:v>
      </x:c>
      <x:c r="E6" s="20" t="str">
        <x:v>Полезно на кислых почвах и при дефиците Mg</x:v>
      </x:c>
      <x:c r="F6" s="20" t="str">
        <x:v>0; 500; 1000; 2000; 3000–5000 кг/га</x:v>
      </x:c>
      <x:c r="G6" s="32" t="str">
        <x:v>Редко</x:v>
      </x:c>
      <x:c r="H6" s="50" t="str">
        <x:v>Средняя</x:v>
      </x:c>
      <x:c r="I6" s="20" t="str">
        <x:v>Не основной фактор для N/P-эксперимента</x:v>
      </x:c>
    </x:row>
    <x:row r="7">
      <x:c r="A7" s="20" t="str">
        <x:v>NO3N</x:v>
      </x:c>
      <x:c r="B7" s="20" t="str">
        <x:v>Азот</x:v>
      </x:c>
      <x:c r="C7" s="20" t="str">
        <x:v>Нитратный азот</x:v>
      </x:c>
      <x:c r="D7" s="20" t="str">
        <x:v>NO3</x:v>
      </x:c>
      <x:c r="E7" s="20" t="str">
        <x:v>Быстро доступен, быстро влияет на рост, но подвижен и может вымываться</x:v>
      </x:c>
      <x:c r="F7" s="20" t="str">
        <x:v>0–250 кг N/га; сетка 0,30,60,90,120,150,180,210</x:v>
      </x:c>
      <x:c r="G7" s="24" t="str">
        <x:v>Да</x:v>
      </x:c>
      <x:c r="H7" s="26" t="str">
        <x:v>Очень высокая</x:v>
      </x:c>
      <x:c r="I7" s="20" t="str">
        <x:v>Хорош для чистого сценария нитратного N</x:v>
      </x:c>
    </x:row>
    <x:row r="8">
      <x:c r="A8" s="20" t="str">
        <x:v>NH4N</x:v>
      </x:c>
      <x:c r="B8" s="20" t="str">
        <x:v>Азот</x:v>
      </x:c>
      <x:c r="C8" s="20" t="str">
        <x:v>Аммонийный азот</x:v>
      </x:c>
      <x:c r="D8" s="20" t="str">
        <x:v>NH4</x:v>
      </x:c>
      <x:c r="E8" s="20" t="str">
        <x:v>Доступен, менее подвижен; затем может нитрифицироваться в NO3</x:v>
      </x:c>
      <x:c r="F8" s="20" t="str">
        <x:v>0–250 кг N/га; сетка 0,30,60,90,120,150,180,210</x:v>
      </x:c>
      <x:c r="G8" s="24" t="str">
        <x:v>Да</x:v>
      </x:c>
      <x:c r="H8" s="30" t="str">
        <x:v>Высокая</x:v>
      </x:c>
      <x:c r="I8" s="20" t="str">
        <x:v>Эффект зависит от нитрификации</x:v>
      </x:c>
    </x:row>
    <x:row r="9">
      <x:c r="A9" s="20" t="str">
        <x:v>NH4NO3N</x:v>
      </x:c>
      <x:c r="B9" s="20" t="str">
        <x:v>Азот</x:v>
      </x:c>
      <x:c r="C9" s="20" t="str">
        <x:v>Аммиачная селитра: NH4 + NO3</x:v>
      </x:c>
      <x:c r="D9" s="20" t="str">
        <x:v>NH4 и NO3</x:v>
      </x:c>
      <x:c r="E9" s="20" t="str">
        <x:v>Быстрый + более растянутый эффект, хороший базовый вариант</x:v>
      </x:c>
      <x:c r="F9" s="20" t="str">
        <x:v>0–250 кг N/га; сетка 0,30,60,90,120,150,180,210</x:v>
      </x:c>
      <x:c r="G9" s="24" t="str">
        <x:v>Да</x:v>
      </x:c>
      <x:c r="H9" s="26" t="str">
        <x:v>Очень высокая</x:v>
      </x:c>
      <x:c r="I9" s="20" t="str">
        <x:v>Один из лучших вариантов для сравнения норм N</x:v>
      </x:c>
    </x:row>
    <x:row r="10">
      <x:c r="A10" s="20" t="str">
        <x:v>DAP</x:v>
      </x:c>
      <x:c r="B10" s="20" t="str">
        <x:v>Азот+фосфор</x:v>
      </x:c>
      <x:c r="C10" s="20" t="str">
        <x:v>Диаммонийфосфат</x:v>
      </x:c>
      <x:c r="D10" s="20" t="str">
        <x:v>P + NH4-N</x:v>
      </x:c>
      <x:c r="E10" s="20" t="str">
        <x:v>Стартовое питание P и N; может ускорять раннее развитие</x:v>
      </x:c>
      <x:c r="F10" s="20" t="str">
        <x:v>P: 0–60 кг/га; учитывать добавочный N</x:v>
      </x:c>
      <x:c r="G10" s="24" t="str">
        <x:v>Да, если изучаешь P</x:v>
      </x:c>
      <x:c r="H10" s="30" t="str">
        <x:v>Высокая</x:v>
      </x:c>
      <x:c r="I10" s="20" t="str">
        <x:v>Не сравнивать с чистым N без учёта N в DAP</x:v>
      </x:c>
    </x:row>
    <x:row r="11">
      <x:c r="A11" s="20" t="str">
        <x:v>MAP</x:v>
      </x:c>
      <x:c r="B11" s="20" t="str">
        <x:v>Азот+фосфор</x:v>
      </x:c>
      <x:c r="C11" s="20" t="str">
        <x:v>Моноаммонийфосфат</x:v>
      </x:c>
      <x:c r="D11" s="20" t="str">
        <x:v>P + NH4-N</x:v>
      </x:c>
      <x:c r="E11" s="20" t="str">
        <x:v>Стартовое P + немного N; часто удобен для припосевного внесения</x:v>
      </x:c>
      <x:c r="F11" s="20" t="str">
        <x:v>P: 0–60 кг/га; учитывать добавочный N</x:v>
      </x:c>
      <x:c r="G11" s="24" t="str">
        <x:v>Да, если изучаешь P</x:v>
      </x:c>
      <x:c r="H11" s="30" t="str">
        <x:v>Высокая</x:v>
      </x:c>
      <x:c r="I11" s="20" t="str">
        <x:v>Можно сравнить с DAP</x:v>
      </x:c>
    </x:row>
    <x:row r="12">
      <x:c r="A12" s="20" t="str">
        <x:v>UAN_N</x:v>
      </x:c>
      <x:c r="B12" s="20" t="str">
        <x:v>Азот</x:v>
      </x:c>
      <x:c r="C12" s="20" t="str">
        <x:v>КАС / UAN</x:v>
      </x:c>
      <x:c r="D12" s="20" t="str">
        <x:v>Смесь форм N: мочевина + NH4 + NO3</x:v>
      </x:c>
      <x:c r="E12" s="20" t="str">
        <x:v>Часть N доступна сразу, часть позже; хороший сценарий подкормки</x:v>
      </x:c>
      <x:c r="F12" s="20" t="str">
        <x:v>0–250 кг N/га; сетка 0,30,60,90,120,150,180,210</x:v>
      </x:c>
      <x:c r="G12" s="24" t="str">
        <x:v>Да</x:v>
      </x:c>
      <x:c r="H12" s="26" t="str">
        <x:v>Очень высокая</x:v>
      </x:c>
      <x:c r="I12" s="20" t="str">
        <x:v>Хорош для жидкого N и дробного внесения</x:v>
      </x:c>
    </x:row>
    <x:row r="13">
      <x:c r="A13" s="20" t="str">
        <x:v>UreaN</x:v>
      </x:c>
      <x:c r="B13" s="20" t="str">
        <x:v>Азот</x:v>
      </x:c>
      <x:c r="C13" s="20" t="str">
        <x:v>Мочевина в пересчёте на N</x:v>
      </x:c>
      <x:c r="D13" s="20" t="str">
        <x:v>Urea → NH4 → NO3</x:v>
      </x:c>
      <x:c r="E13" s="20" t="str">
        <x:v>Типичный базовый N-вариант; эффект зависит от превращений в почве</x:v>
      </x:c>
      <x:c r="F13" s="20" t="str">
        <x:v>0–250 кг N/га; сетка 0,30,60,90,120,150,180,210</x:v>
      </x:c>
      <x:c r="G13" s="24" t="str">
        <x:v>Да</x:v>
      </x:c>
      <x:c r="H13" s="26" t="str">
        <x:v>Очень высокая</x:v>
      </x:c>
      <x:c r="I13" s="20" t="str">
        <x:v>Главный кандидат для базовой серии</x:v>
      </x:c>
    </x:row>
    <x:row r="14">
      <x:c r="A14" s="20" t="str">
        <x:v>UreaNO3</x:v>
      </x:c>
      <x:c r="B14" s="20" t="str">
        <x:v>Азот</x:v>
      </x:c>
      <x:c r="C14" s="20" t="str">
        <x:v>Смесь мочевинной и нитратной формы</x:v>
      </x:c>
      <x:c r="D14" s="20" t="str">
        <x:v>Urea + NO3</x:v>
      </x:c>
      <x:c r="E14" s="20" t="str">
        <x:v>Часть сразу доступна, часть через минерализацию/нитрификацию</x:v>
      </x:c>
      <x:c r="F14" s="20" t="str">
        <x:v>0–250 кг N/га</x:v>
      </x:c>
      <x:c r="G14" s="32" t="str">
        <x:v>Можно</x:v>
      </x:c>
      <x:c r="H14" s="30" t="str">
        <x:v>Высокая</x:v>
      </x:c>
      <x:c r="I14" s="20" t="str">
        <x:v>Промежуточный вариант между NO3N и UreaN</x:v>
      </x:c>
    </x:row>
    <x:row r="15">
      <x:c r="A15" s="20" t="str">
        <x:v>Urea</x:v>
      </x:c>
      <x:c r="B15" s="20" t="str">
        <x:v>Азот</x:v>
      </x:c>
      <x:c r="C15" s="20" t="str">
        <x:v>Мочевина как удобрение</x:v>
      </x:c>
      <x:c r="D15" s="20" t="str">
        <x:v>Urea pool / далее NH4 и NO3</x:v>
      </x:c>
      <x:c r="E15" s="20" t="str">
        <x:v>Похоже на UreaN, но нужно проверить единицы Amount в конкретной модели</x:v>
      </x:c>
      <x:c r="F15" s="20" t="str">
        <x:v>Проверить единицы; обычно 0–250 кг/га</x:v>
      </x:c>
      <x:c r="G15" s="52" t="str">
        <x:v>Осторожно</x:v>
      </x:c>
      <x:c r="H15" s="30" t="str">
        <x:v>Высокая</x:v>
      </x:c>
      <x:c r="I15" s="20" t="str">
        <x:v>Важно не перепутать “кг удобрения” и “кг N”</x:v>
      </x:c>
    </x:row>
    <x:row r="16">
      <x:c r="A16" s="20" t="str">
        <x:v>NH4SO4N</x:v>
      </x:c>
      <x:c r="B16" s="20" t="str">
        <x:v>Азот+сера</x:v>
      </x:c>
      <x:c r="C16" s="20" t="str">
        <x:v>Сульфат аммония</x:v>
      </x:c>
      <x:c r="D16" s="20" t="str">
        <x:v>NH4-N + S</x:v>
      </x:c>
      <x:c r="E16" s="20" t="str">
        <x:v>Дает N и серу; полезен при дефиците S</x:v>
      </x:c>
      <x:c r="F16" s="20" t="str">
        <x:v>0–200 кг N/га; S учитывать отдельно</x:v>
      </x:c>
      <x:c r="G16" s="32" t="str">
        <x:v>Можно</x:v>
      </x:c>
      <x:c r="H16" s="50" t="str">
        <x:v>Средняя</x:v>
      </x:c>
      <x:c r="I16" s="20" t="str">
        <x:v>Может подкислять почву</x:v>
      </x:c>
    </x:row>
    <x:row r="17">
      <x:c r="A17" s="20" t="str">
        <x:v>RockP</x:v>
      </x:c>
      <x:c r="B17" s="20" t="str">
        <x:v>Фосфор</x:v>
      </x:c>
      <x:c r="C17" s="20" t="str">
        <x:v>Фосфоритная мука</x:v>
      </x:c>
      <x:c r="D17" s="20" t="str">
        <x:v>Медленный P</x:v>
      </x:c>
      <x:c r="E17" s="20" t="str">
        <x:v>Медленное действие; быстро на урожай может почти не повлиять</x:v>
      </x:c>
      <x:c r="F17" s="20" t="str">
        <x:v>0–100 кг P/га</x:v>
      </x:c>
      <x:c r="G17" s="32" t="str">
        <x:v>Редко</x:v>
      </x:c>
      <x:c r="H17" s="34" t="str">
        <x:v>Низкая/средняя</x:v>
      </x:c>
      <x:c r="I17" s="20" t="str">
        <x:v>Лучше для долгосрочных P-сценариев</x:v>
      </x:c>
    </x:row>
    <x:row r="18">
      <x:c r="A18" s="20" t="str">
        <x:v>BandedP</x:v>
      </x:c>
      <x:c r="B18" s="20" t="str">
        <x:v>Фосфор/способ</x:v>
      </x:c>
      <x:c r="C18" s="20" t="str">
        <x:v>Ленточное локальное внесение P</x:v>
      </x:c>
      <x:c r="D18" s="20" t="str">
        <x:v>Локализованный P</x:v>
      </x:c>
      <x:c r="E18" s="20" t="str">
        <x:v>Может сильнее помогать раннему росту корней и стартовому питанию</x:v>
      </x:c>
      <x:c r="F18" s="20" t="str">
        <x:v>0–60 кг P/га</x:v>
      </x:c>
      <x:c r="G18" s="24" t="str">
        <x:v>Да, если P-задача</x:v>
      </x:c>
      <x:c r="H18" s="30" t="str">
        <x:v>Высокая</x:v>
      </x:c>
      <x:c r="I18" s="20" t="str">
        <x:v>Сравнить с BroadcastP</x:v>
      </x:c>
    </x:row>
    <x:row r="19">
      <x:c r="A19" s="20" t="str">
        <x:v>BroadcastP</x:v>
      </x:c>
      <x:c r="B19" s="20" t="str">
        <x:v>Фосфор/способ</x:v>
      </x:c>
      <x:c r="C19" s="20" t="str">
        <x:v>Разбросное внесение P</x:v>
      </x:c>
      <x:c r="D19" s="20" t="str">
        <x:v>Равномерный P</x:v>
      </x:c>
      <x:c r="E19" s="20" t="str">
        <x:v>Более равномерное распределение; стартовый эффект может быть слабее, чем у BandedP</x:v>
      </x:c>
      <x:c r="F19" s="20" t="str">
        <x:v>0–60 кг P/га</x:v>
      </x:c>
      <x:c r="G19" s="24" t="str">
        <x:v>Да, если P-задача</x:v>
      </x:c>
      <x:c r="H19" s="30" t="str">
        <x:v>Высокая</x:v>
      </x:c>
      <x:c r="I19" s="20" t="str">
        <x:v>Сравнить с BandedP</x:v>
      </x:c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c8fecfd50fa48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42" hidden="0" customWidth="1"/>
    <x:col min="5" max="5" width="30" hidden="0" customWidth="1"/>
    <x:col min="6" max="6" width="34" hidden="0" customWidth="1"/>
    <x:col min="7" max="7" width="16" hidden="0" customWidth="1"/>
    <x:col min="8" max="8" width="20" hidden="0" customWidth="1"/>
  </x:cols>
  <x:sheetData>
    <x:row r="1" ht="26" customHeight="1">
      <x:c r="A1" s="72" t="str">
        <x:v>Параметры Soil → Physical → WheatSoil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Параметр</x:v>
      </x:c>
      <x:c r="B3" s="74" t="str">
        <x:v>Единицы</x:v>
      </x:c>
      <x:c r="C3" s="74" t="str">
        <x:v>Что означает</x:v>
      </x:c>
      <x:c r="D3" s="74" t="str">
        <x:v>Как влияет</x:v>
      </x:c>
      <x:c r="E3" s="74" t="str">
        <x:v>Что можно варьировать</x:v>
      </x:c>
      <x:c r="F3" s="74" t="str">
        <x:v>Безопасный диапазон/сценарий</x:v>
      </x:c>
      <x:c r="G3" s="74" t="str">
        <x:v>Важность</x:v>
      </x:c>
      <x:c r="H3" s="74" t="str">
        <x:v>Осторожность</x:v>
      </x:c>
      <x:c r="I3" s="73"/>
    </x:row>
    <x:row r="4">
      <x:c r="A4" s="20" t="str">
        <x:v>Depth</x:v>
      </x:c>
      <x:c r="B4" s="20" t="str">
        <x:v>mm</x:v>
      </x:c>
      <x:c r="C4" s="20" t="str">
        <x:v>Границы слоёв почвы</x:v>
      </x:c>
      <x:c r="D4" s="20" t="str">
        <x:v>Определяет дискретизацию профиля для воды, азота, корней</x:v>
      </x:c>
      <x:c r="E4" s="20" t="str">
        <x:v>Обычно менять только при подготовке профиля почвы</x:v>
      </x:c>
      <x:c r="F4" s="20" t="str">
        <x:v>Сохранять согласованность всех Soil-таблиц</x:v>
      </x:c>
      <x:c r="G4" s="30" t="str">
        <x:v>Высокая</x:v>
      </x:c>
      <x:c r="H4" s="20" t="str">
        <x:v>Менять осторожно</x:v>
      </x:c>
      <x:c r="I4" s="73"/>
    </x:row>
    <x:row r="5">
      <x:c r="A5" s="20" t="str">
        <x:v>LL</x:v>
      </x:c>
      <x:c r="B5" s="20" t="str">
        <x:v>mm/mm</x:v>
      </x:c>
      <x:c r="C5" s="20" t="str">
        <x:v>Lower Limit: нижний предел воды, доступной пшенице</x:v>
      </x:c>
      <x:c r="D5" s="20" t="str">
        <x:v>Чем выше LL, тем меньше доступная вода и сильнее водный стресс</x:v>
      </x:c>
      <x:c r="E5" s="20" t="str">
        <x:v>Лучше не трогать без калибровки</x:v>
      </x:c>
      <x:c r="F5" s="20" t="str">
        <x:v>Для чувствительности ±5–10%, не ломая DUL &gt; LL</x:v>
      </x:c>
      <x:c r="G5" s="30" t="str">
        <x:v>Высокая</x:v>
      </x:c>
      <x:c r="H5" s="20" t="str">
        <x:v>Очень осторожно</x:v>
      </x:c>
      <x:c r="I5" s="73"/>
    </x:row>
    <x:row r="6">
      <x:c r="A6" s="20" t="str">
        <x:v>KL</x:v>
      </x:c>
      <x:c r="B6" s="20" t="str">
        <x:v>/day</x:v>
      </x:c>
      <x:c r="C6" s="20" t="str">
        <x:v>Коэффициент извлечения воды корнями</x:v>
      </x:c>
      <x:c r="D6" s="20" t="str">
        <x:v>Чем выше KL, тем быстрее пшеница забирает воду из слоя</x:v>
      </x:c>
      <x:c r="E6" s="20" t="str">
        <x:v>Хороший параметр для сценариев корневой активности</x:v>
      </x:c>
      <x:c r="F6" s="20" t="str">
        <x:v>Множители 0.7 / 1.0 / 1.3; обычно около 0.01–0.08</x:v>
      </x:c>
      <x:c r="G6" s="26" t="str">
        <x:v>Очень высокая</x:v>
      </x:c>
      <x:c r="H6" s="20" t="str">
        <x:v>Можно варьировать</x:v>
      </x:c>
      <x:c r="I6" s="73"/>
    </x:row>
    <x:row r="7">
      <x:c r="A7" s="20" t="str">
        <x:v>XF</x:v>
      </x:c>
      <x:c r="B7" s="20" t="str">
        <x:v>0–1</x:v>
      </x:c>
      <x:c r="C7" s="20" t="str">
        <x:v>Доступность слоя для корней</x:v>
      </x:c>
      <x:c r="D7" s="20" t="str">
        <x:v>1 — слой доступен; 0 — корни не проходят</x:v>
      </x:c>
      <x:c r="E7" s="20" t="str">
        <x:v>Моделировать плотный, засоленный, кислый или недоступный горизонт</x:v>
      </x:c>
      <x:c r="F7" s="20" t="str">
        <x:v>1.0 нормально; 0.3–0.7 ограничение; 0.0 недоступно</x:v>
      </x:c>
      <x:c r="G7" s="26" t="str">
        <x:v>Очень высокая</x:v>
      </x:c>
      <x:c r="H7" s="20" t="str">
        <x:v>Можно варьировать</x:v>
      </x:c>
      <x:c r="I7" s="73"/>
    </x:row>
    <x:row r="8">
      <x:c r="A8" s="20" t="str">
        <x:v>PAWC</x:v>
      </x:c>
      <x:c r="B8" s="20" t="str">
        <x:v>mm</x:v>
      </x:c>
      <x:c r="C8" s="20" t="str">
        <x:v>Plant Available Water Capacity</x:v>
      </x:c>
      <x:c r="D8" s="20" t="str">
        <x:v>Запас доступной воды в слое: примерно (DUL - LL) × Thickness</x:v>
      </x:c>
      <x:c r="E8" s="20" t="str">
        <x:v>Обычно не задаётся отдельно, а получается из DUL/LL/толщины</x:v>
      </x:c>
      <x:c r="F8" s="20" t="str">
        <x:v>Следить за суммой по профилю</x:v>
      </x:c>
      <x:c r="G8" s="30" t="str">
        <x:v>Высокая</x:v>
      </x:c>
      <x:c r="H8" s="20" t="str">
        <x:v>Контрольный показатель</x:v>
      </x:c>
      <x:c r="I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</x:row>
    <x:row r="11">
      <x:c r="A11" s="74" t="str">
        <x:v>Depth</x:v>
      </x:c>
      <x:c r="B11" s="74" t="str">
        <x:v>LL</x:v>
      </x:c>
      <x:c r="C11" s="74" t="str">
        <x:v>KL</x:v>
      </x:c>
      <x:c r="D11" s="74" t="str">
        <x:v>XF</x:v>
      </x:c>
      <x:c r="E11" s="74" t="str">
        <x:v>PAWC</x:v>
      </x:c>
      <x:c r="F11" s="74" t="str">
        <x:v>Комментарий</x:v>
      </x:c>
      <x:c r="G11" s="73"/>
      <x:c r="H11" s="73"/>
      <x:c r="I11" s="73"/>
    </x:row>
    <x:row r="12">
      <x:c r="A12" s="20" t="str">
        <x:v>0-150</x:v>
      </x:c>
      <x:c r="B12" s="54" t="n">
        <x:v>0.261</x:v>
      </x:c>
      <x:c r="C12" s="60" t="n">
        <x:v>0.06</x:v>
      </x:c>
      <x:c r="D12" s="58" t="n">
        <x:v>1</x:v>
      </x:c>
      <x:c r="E12" s="56" t="n">
        <x:v>39</x:v>
      </x:c>
      <x:c r="F12" s="20" t="str">
        <x:v>верхний слой: активная зона корней</x:v>
      </x:c>
      <x:c r="G12" s="73"/>
      <x:c r="H12" s="73"/>
      <x:c r="I12" s="73"/>
    </x:row>
    <x:row r="13">
      <x:c r="A13" s="20" t="str">
        <x:v>150-300</x:v>
      </x:c>
      <x:c r="B13" s="54" t="n">
        <x:v>0.248</x:v>
      </x:c>
      <x:c r="C13" s="60" t="n">
        <x:v>0.06</x:v>
      </x:c>
      <x:c r="D13" s="58" t="n">
        <x:v>1</x:v>
      </x:c>
      <x:c r="E13" s="56" t="n">
        <x:v>37.3</x:v>
      </x:c>
      <x:c r="F13" s="20" t="str">
        <x:v>верхний/средний слой</x:v>
      </x:c>
      <x:c r="G13" s="73"/>
      <x:c r="H13" s="73"/>
      <x:c r="I13" s="73"/>
    </x:row>
    <x:row r="14">
      <x:c r="A14" s="20" t="str">
        <x:v>300-600</x:v>
      </x:c>
      <x:c r="B14" s="54" t="n">
        <x:v>0.28</x:v>
      </x:c>
      <x:c r="C14" s="60" t="n">
        <x:v>0.07</x:v>
      </x:c>
      <x:c r="D14" s="58" t="n">
        <x:v>1</x:v>
      </x:c>
      <x:c r="E14" s="56" t="n">
        <x:v>62.5</x:v>
      </x:c>
      <x:c r="F14" s="20" t="str">
        <x:v>самый высокий KL и большой запас воды</x:v>
      </x:c>
      <x:c r="G14" s="73"/>
      <x:c r="H14" s="73"/>
      <x:c r="I14" s="73"/>
    </x:row>
    <x:row r="15">
      <x:c r="A15" s="20" t="str">
        <x:v>600-900</x:v>
      </x:c>
      <x:c r="B15" s="54" t="n">
        <x:v>0.306</x:v>
      </x:c>
      <x:c r="C15" s="60" t="n">
        <x:v>0.04</x:v>
      </x:c>
      <x:c r="D15" s="58" t="n">
        <x:v>1</x:v>
      </x:c>
      <x:c r="E15" s="56" t="n">
        <x:v>52.3</x:v>
      </x:c>
      <x:c r="F15" s="20" t="str">
        <x:v>глубже — извлечение медленнее</x:v>
      </x:c>
      <x:c r="G15" s="73"/>
      <x:c r="H15" s="73"/>
      <x:c r="I15" s="73"/>
    </x:row>
    <x:row r="16">
      <x:c r="A16" s="20" t="str">
        <x:v>900-1200</x:v>
      </x:c>
      <x:c r="B16" s="54" t="n">
        <x:v>0.36</x:v>
      </x:c>
      <x:c r="C16" s="60" t="n">
        <x:v>0.04</x:v>
      </x:c>
      <x:c r="D16" s="58" t="n">
        <x:v>1</x:v>
      </x:c>
      <x:c r="E16" s="56" t="n">
        <x:v>33.5</x:v>
      </x:c>
      <x:c r="F16" s="20" t="str">
        <x:v>глубокий запас</x:v>
      </x:c>
      <x:c r="G16" s="73"/>
      <x:c r="H16" s="73"/>
      <x:c r="I16" s="73"/>
    </x:row>
    <x:row r="17">
      <x:c r="A17" s="20" t="str">
        <x:v>1200-1500</x:v>
      </x:c>
      <x:c r="B17" s="54" t="n">
        <x:v>0.392</x:v>
      </x:c>
      <x:c r="C17" s="60" t="n">
        <x:v>0.02</x:v>
      </x:c>
      <x:c r="D17" s="58" t="n">
        <x:v>1</x:v>
      </x:c>
      <x:c r="E17" s="56" t="n">
        <x:v>19.5</x:v>
      </x:c>
      <x:c r="F17" s="20" t="str">
        <x:v>слабое извлечение</x:v>
      </x:c>
      <x:c r="G17" s="73"/>
      <x:c r="H17" s="73"/>
      <x:c r="I17" s="73"/>
    </x:row>
    <x:row r="18">
      <x:c r="A18" s="20" t="str">
        <x:v>1500-1800</x:v>
      </x:c>
      <x:c r="B18" s="54" t="n">
        <x:v>0.446</x:v>
      </x:c>
      <x:c r="C18" s="60" t="n">
        <x:v>0.01</x:v>
      </x:c>
      <x:c r="D18" s="58" t="n">
        <x:v>1</x:v>
      </x:c>
      <x:c r="E18" s="56" t="n">
        <x:v>1.9</x:v>
      </x:c>
      <x:c r="F18" s="20" t="str">
        <x:v>почти нет доступной воды</x:v>
      </x:c>
      <x:c r="G18" s="73"/>
      <x:c r="H18" s="73"/>
      <x:c r="I18" s="73"/>
    </x:row>
    <x:row r="19">
      <x:c r="A19" s="73"/>
      <x:c r="B19" s="73"/>
      <x:c r="C19" s="73"/>
      <x:c r="D19" s="73"/>
      <x:c r="E19" s="84" t="str">
        <x:v>Сумма PAWC, мм</x:v>
      </x:c>
      <x:c r="F19" s="84" t="n">
        <x:f>SUM(E12:E18)</x:f>
        <x:v>246.00000000000003</x:v>
      </x:c>
      <x:c r="G19" s="73"/>
      <x:c r="H19" s="73"/>
      <x:c r="I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744f0ed2d1f148a8"/>
    <x:tablePart xmlns:r="http://schemas.openxmlformats.org/officeDocument/2006/relationships" r:id="R19042fee612e46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30" hidden="0" customWidth="1"/>
    <x:col min="5" max="5" width="34" hidden="0" customWidth="1"/>
    <x:col min="6" max="6" width="34" hidden="0" customWidth="1"/>
    <x:col min="7" max="7" width="12" hidden="0" customWidth="1"/>
  </x:cols>
  <x:sheetData>
    <x:row r="1" ht="26" customHeight="1">
      <x:c r="A1" s="72" t="str">
        <x:v>Предлагаемый план варьирования параметров APSIM Wheat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Эксперимент</x:v>
      </x:c>
      <x:c r="B3" s="74" t="str">
        <x:v>Что менять</x:v>
      </x:c>
      <x:c r="C3" s="74" t="str">
        <x:v>Значения</x:v>
      </x:c>
      <x:c r="D3" s="74" t="str">
        <x:v>Что фиксировать</x:v>
      </x:c>
      <x:c r="E3" s="74" t="str">
        <x:v>Что смотреть в отчёте</x:v>
      </x:c>
      <x:c r="F3" s="74" t="str">
        <x:v>Почему важно</x:v>
      </x:c>
      <x:c r="G3" s="74" t="str">
        <x:v>Приоритет</x:v>
      </x:c>
      <x:c r="H3" s="73"/>
      <x:c r="I3" s="73"/>
    </x:row>
    <x:row r="4">
      <x:c r="A4" s="20" t="str">
        <x:v>N-норма</x:v>
      </x:c>
      <x:c r="B4" s="20" t="str">
        <x:v>Amount для UreaN или NH4NO3N</x:v>
      </x:c>
      <x:c r="C4" s="20" t="str">
        <x:v>0; 30; 60; 90; 120; 150; 180; 210 кг N/га</x:v>
      </x:c>
      <x:c r="D4" s="20" t="str">
        <x:v>Сорт, почва, даты посева, вода</x:v>
      </x:c>
      <x:c r="E4" s="20" t="str">
        <x:v>Yield, biomass, grain N, NO3/NH4, water stress, N stress</x:v>
      </x:c>
      <x:c r="F4" s="20" t="str">
        <x:v>Главный фактор урожайности пшеницы</x:v>
      </x:c>
      <x:c r="G4" s="26" t="str">
        <x:v>1</x:v>
      </x:c>
      <x:c r="H4" s="73"/>
      <x:c r="I4" s="73"/>
    </x:row>
    <x:row r="5">
      <x:c r="A5" s="20" t="str">
        <x:v>N-форма</x:v>
      </x:c>
      <x:c r="B5" s="20" t="str">
        <x:v>Type: UreaN / NH4NO3N / UAN_N / NO3N</x:v>
      </x:c>
      <x:c r="C5" s="20" t="str">
        <x:v>Одинаковая доза N, например 90 или 120 кг N/га</x:v>
      </x:c>
      <x:c r="D5" s="20" t="str">
        <x:v>Общая доза N и даты</x:v>
      </x:c>
      <x:c r="E5" s="20" t="str">
        <x:v>Yield, N uptake, потери/остаточный N</x:v>
      </x:c>
      <x:c r="F5" s="20" t="str">
        <x:v>Показывает отличие форм азота</x:v>
      </x:c>
      <x:c r="G5" s="26" t="str">
        <x:v>2</x:v>
      </x:c>
      <x:c r="H5" s="73"/>
      <x:c r="I5" s="73"/>
    </x:row>
    <x:row r="6">
      <x:c r="A6" s="20" t="str">
        <x:v>Дробное внесение N</x:v>
      </x:c>
      <x:c r="B6" s="20" t="str">
        <x:v>Дата и доля дозы</x:v>
      </x:c>
      <x:c r="C6" s="20" t="str">
        <x:v>Напр.: 30 при посеве + 90 в кущение; или всё при посеве</x:v>
      </x:c>
      <x:c r="D6" s="20" t="str">
        <x:v>Общая доза N</x:v>
      </x:c>
      <x:c r="E6" s="20" t="str">
        <x:v>Yield, N stress по фазам, grain protein/N</x:v>
      </x:c>
      <x:c r="F6" s="20" t="str">
        <x:v>Часто важнее формы удобрения</x:v>
      </x:c>
      <x:c r="G6" s="26" t="str">
        <x:v>3</x:v>
      </x:c>
      <x:c r="H6" s="73"/>
      <x:c r="I6" s="73"/>
    </x:row>
    <x:row r="7">
      <x:c r="A7" s="20" t="str">
        <x:v>P-норма</x:v>
      </x:c>
      <x:c r="B7" s="20" t="str">
        <x:v>MAP/DAP/BandedP/BroadcastP</x:v>
      </x:c>
      <x:c r="C7" s="20" t="str">
        <x:v>0; 10; 20; 30; 40; 60 кг P/га</x:v>
      </x:c>
      <x:c r="D7" s="20" t="str">
        <x:v>N-доза или компенсация N из MAP/DAP</x:v>
      </x:c>
      <x:c r="E7" s="20" t="str">
        <x:v>Yield, early biomass, P stress если есть</x:v>
      </x:c>
      <x:c r="F7" s="20" t="str">
        <x:v>Если задача про фосфор и стартовое питание</x:v>
      </x:c>
      <x:c r="G7" s="30" t="str">
        <x:v>4</x:v>
      </x:c>
      <x:c r="H7" s="73"/>
      <x:c r="I7" s="73"/>
    </x:row>
    <x:row r="8">
      <x:c r="A8" s="20" t="str">
        <x:v>KL чувствительность</x:v>
      </x:c>
      <x:c r="B8" s="20" t="str">
        <x:v>KL по слоям или множитель</x:v>
      </x:c>
      <x:c r="C8" s="20" t="str">
        <x:v>×0.7; ×1.0; ×1.3</x:v>
      </x:c>
      <x:c r="D8" s="20" t="str">
        <x:v>Удобрения и сорт</x:v>
      </x:c>
      <x:c r="E8" s="20" t="str">
        <x:v>Water uptake, water stress, yield</x:v>
      </x:c>
      <x:c r="F8" s="20" t="str">
        <x:v>Проверяет роль корневого водопотребления</x:v>
      </x:c>
      <x:c r="G8" s="30" t="str">
        <x:v>5</x:v>
      </x:c>
      <x:c r="H8" s="73"/>
      <x:c r="I8" s="73"/>
    </x:row>
    <x:row r="9">
      <x:c r="A9" s="20" t="str">
        <x:v>XF ограничение</x:v>
      </x:c>
      <x:c r="B9" s="20" t="str">
        <x:v>XF на глубоких слоях</x:v>
      </x:c>
      <x:c r="C9" s="20" t="str">
        <x:v>После 900 мм: 1.0 / 0.5 / 0.0</x:v>
      </x:c>
      <x:c r="D9" s="20" t="str">
        <x:v>LL/KL, удобрения, сорт</x:v>
      </x:c>
      <x:c r="E9" s="20" t="str">
        <x:v>Root depth, water uptake, water stress, yield</x:v>
      </x:c>
      <x:c r="F9" s="20" t="str">
        <x:v>Имитирует плотный/недоступный горизонт</x:v>
      </x:c>
      <x:c r="G9" s="30" t="str">
        <x:v>6</x:v>
      </x:c>
      <x:c r="H9" s="73"/>
      <x:c r="I9" s="73"/>
    </x:row>
    <x:row r="10">
      <x:c r="A10" s="20" t="str">
        <x:v>Cultivar</x:v>
      </x:c>
      <x:c r="B10" s="20" t="str">
        <x:v>Cultivar/phenology parameters</x:v>
      </x:c>
      <x:c r="C10" s="20" t="str">
        <x:v>Базовый сорт vs калиброванный</x:v>
      </x:c>
      <x:c r="D10" s="20" t="str">
        <x:v>Почва и управление</x:v>
      </x:c>
      <x:c r="E10" s="20" t="str">
        <x:v>Дата цветения/созревания, yield, LAI</x:v>
      </x:c>
      <x:c r="F10" s="20" t="str">
        <x:v>Нужно для привязки к региону/сорту</x:v>
      </x:c>
      <x:c r="G10" s="30" t="str">
        <x:v>Отдельно</x:v>
      </x:c>
      <x:c r="H10" s="73"/>
      <x:c r="I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3911cb1522c4b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34" hidden="0" customWidth="1"/>
    <x:col min="4" max="4" width="34" hidden="0" customWidth="1"/>
    <x:col min="5" max="5" width="12" hidden="0" customWidth="1"/>
  </x:cols>
  <x:sheetData>
    <x:row r="1" ht="26" customHeight="1">
      <x:c r="A1" s="72" t="str">
        <x:v>Как устроен “сорт” пшеницы в APSIM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Вопрос</x:v>
      </x:c>
      <x:c r="B3" s="74" t="str">
        <x:v>Ответ</x:v>
      </x:c>
      <x:c r="C3" s="74" t="str">
        <x:v>Где искать</x:v>
      </x:c>
      <x:c r="D3" s="74" t="str">
        <x:v>Что менять</x:v>
      </x:c>
      <x:c r="E3" s="74" t="str">
        <x:v>Важно</x:v>
      </x:c>
      <x:c r="F3" s="73"/>
      <x:c r="G3" s="73"/>
      <x:c r="H3" s="73"/>
      <x:c r="I3" s="73"/>
    </x:row>
    <x:row r="4">
      <x:c r="A4" s="20" t="str">
        <x:v>Какой сорт в APSIM?</x:v>
      </x:c>
      <x:c r="B4" s="20" t="str">
        <x:v>Не один сорт. Модель Wheat общая, а конкретный сорт задаётся cultivar-параметрами.</x:v>
      </x:c>
      <x:c r="C4" s="20" t="str">
        <x:v>Wheat / Sowing rule / Cultivar; Replacements / Cultivars; .apsimx</x:v>
      </x:c>
      <x:c r="D4" s="20" t="str">
        <x:v>Выбор cultivar</x:v>
      </x:c>
      <x:c r="E4" s="26" t="str">
        <x:v>Да</x:v>
      </x:c>
      <x:c r="F4" s="73"/>
      <x:c r="G4" s="73"/>
      <x:c r="H4" s="73"/>
      <x:c r="I4" s="73"/>
    </x:row>
    <x:row r="5">
      <x:c r="A5" s="20" t="str">
        <x:v>Почему не видно в коде?</x:v>
      </x:c>
      <x:c r="B5" s="20" t="str">
        <x:v>В Next Gen параметры часто находятся в .apsimx/JSON-структуре модели, а не отдельным C# классом сорта.</x:v>
      </x:c>
      <x:c r="C5" s="20" t="str">
        <x:v>.apsimx, GUI дерево модели</x:v>
      </x:c>
      <x:c r="D5" s="20" t="str">
        <x:v>Искать имя cultivar в менеджере посева</x:v>
      </x:c>
      <x:c r="E5" s="26" t="str">
        <x:v>Да</x:v>
      </x:c>
      <x:c r="F5" s="73"/>
      <x:c r="G5" s="73"/>
      <x:c r="H5" s="73"/>
      <x:c r="I5" s="73"/>
    </x:row>
    <x:row r="6">
      <x:c r="A6" s="20" t="str">
        <x:v>Что обычно калибруют?</x:v>
      </x:c>
      <x:c r="B6" s="20" t="str">
        <x:v>Фенологию: thermal time, фотопериод, яровизацию; иногда LAI, биомассу, зерно, корни.</x:v>
      </x:c>
      <x:c r="C6" s="20" t="str">
        <x:v>Cultivar/Phenology/Wheat parameters</x:v>
      </x:c>
      <x:c r="D6" s="20" t="str">
        <x:v>Параметры фаз развития и продуктивности</x:v>
      </x:c>
      <x:c r="E6" s="26" t="str">
        <x:v>Да</x:v>
      </x:c>
      <x:c r="F6" s="73"/>
      <x:c r="G6" s="73"/>
      <x:c r="H6" s="73"/>
      <x:c r="I6" s="73"/>
    </x:row>
    <x:row r="7">
      <x:c r="A7" s="20" t="str">
        <x:v>Как менять правильно?</x:v>
      </x:c>
      <x:c r="B7" s="20" t="str">
        <x:v>Сначала зафиксировать базовый сорт, прогнать N/P. Потом отдельно калибровать cultivar под регион.</x:v>
      </x:c>
      <x:c r="C7" s="20" t="str">
        <x:v>Отдельная серия экспериментов</x:v>
      </x:c>
      <x:c r="D7" s="20" t="str">
        <x:v>Не смешивать с удобрениями</x:v>
      </x:c>
      <x:c r="E7" s="26" t="str">
        <x:v>Да</x:v>
      </x:c>
      <x:c r="F7" s="73"/>
      <x:c r="G7" s="73"/>
      <x:c r="H7" s="73"/>
      <x:c r="I7" s="73"/>
    </x:row>
    <x:row r="8">
      <x:c r="A8" s="20" t="str">
        <x:v>Что писать в работе?</x:v>
      </x:c>
      <x:c r="B8" s="20" t="str">
        <x:v>“Используется APSIM-Wheat с выбранной параметризацией cultivar; для региона требуется калибровка по фазам развития и урожайности.”</x:v>
      </x:c>
      <x:c r="C8" s="20" t="str">
        <x:v>Методика/ограничения модели</x:v>
      </x:c>
      <x:c r="D8" s="20" t="str">
        <x:v>Формулировка в дипломе</x:v>
      </x:c>
      <x:c r="E8" s="26" t="str">
        <x:v>Да</x:v>
      </x:c>
      <x:c r="F8" s="73"/>
      <x:c r="G8" s="73"/>
      <x:c r="H8" s="73"/>
      <x:c r="I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ebb1ed5074042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6" customHeight="1">
      <x:c r="A1" s="72" t="str">
        <x:v>Примечания к таблицам</x:v>
      </x:c>
      <x:c r="B1" s="73"/>
      <x:c r="C1" s="73"/>
      <x:c r="D1" s="73"/>
      <x:c r="E1" s="73"/>
      <x:c r="F1" s="73"/>
      <x:c r="G1" s="73"/>
      <x:c r="H1" s="73"/>
      <x:c r="I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</x:row>
    <x:row r="3">
      <x:c r="A3" s="74" t="str">
        <x:v>Тема</x:v>
      </x:c>
      <x:c r="B3" s="74" t="str">
        <x:v>Примечание</x:v>
      </x:c>
      <x:c r="C3" s="73"/>
      <x:c r="D3" s="73"/>
      <x:c r="E3" s="73"/>
      <x:c r="F3" s="73"/>
      <x:c r="G3" s="73"/>
      <x:c r="H3" s="73"/>
      <x:c r="I3" s="73"/>
    </x:row>
    <x:row r="4">
      <x:c r="A4" s="20" t="str">
        <x:v>Единицы</x:v>
      </x:c>
      <x:c r="B4" s="20" t="str">
        <x:v>В APSIM всегда проверяй, что именно ожидает выбранный fertiliser type: кг/га вещества или кг/га элемента/N/P. Для Urea vs UreaN это особенно важно.</x:v>
      </x:c>
      <x:c r="C4" s="73"/>
      <x:c r="D4" s="73"/>
      <x:c r="E4" s="73"/>
      <x:c r="F4" s="73"/>
      <x:c r="G4" s="73"/>
      <x:c r="H4" s="73"/>
      <x:c r="I4" s="73"/>
    </x:row>
    <x:row r="5">
      <x:c r="A5" s="20" t="str">
        <x:v>Главный риск</x:v>
      </x:c>
      <x:c r="B5" s="20" t="str">
        <x:v>Не смешивать в одном эксперименте смену сорта, нормы удобрения, даты внесения и водные параметры — иначе результат трудно интерпретировать.</x:v>
      </x:c>
      <x:c r="C5" s="73"/>
      <x:c r="D5" s="73"/>
      <x:c r="E5" s="73"/>
      <x:c r="F5" s="73"/>
      <x:c r="G5" s="73"/>
      <x:c r="H5" s="73"/>
      <x:c r="I5" s="73"/>
    </x:row>
    <x:row r="6">
      <x:c r="A6" s="20" t="str">
        <x:v>Самые важные места</x:v>
      </x:c>
      <x:c r="B6" s="20" t="str">
        <x:v>В листах зелёным/жёлтым выделены параметры, которые стоит проверять первыми: N-форма/норма, KL, XF, cultivar.</x:v>
      </x:c>
      <x:c r="C6" s="73"/>
      <x:c r="D6" s="73"/>
      <x:c r="E6" s="73"/>
      <x:c r="F6" s="73"/>
      <x:c r="G6" s="73"/>
      <x:c r="H6" s="73"/>
      <x:c r="I6" s="73"/>
    </x:row>
    <x:row r="7">
      <x:c r="A7" s="20" t="str">
        <x:v>PAWC</x:v>
      </x:c>
      <x:c r="B7" s="20" t="str">
        <x:v>PAWC в таблице WheatSoil — контрольная величина; напрямую обычно меняют LL/DUL/толщину слоя, а PAWC пересчитывается.</x:v>
      </x:c>
      <x:c r="C7" s="73"/>
      <x:c r="D7" s="73"/>
      <x:c r="E7" s="73"/>
      <x:c r="F7" s="73"/>
      <x:c r="G7" s="73"/>
      <x:c r="H7" s="73"/>
      <x:c r="I7" s="73"/>
    </x:row>
    <x:row r="8">
      <x:c r="A8" s="73"/>
      <x:c r="B8" s="73"/>
      <x:c r="C8" s="73"/>
      <x:c r="D8" s="73"/>
      <x:c r="E8" s="73"/>
      <x:c r="F8" s="73"/>
      <x:c r="G8" s="73"/>
      <x:c r="H8" s="73"/>
      <x:c r="I8" s="73"/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</x:row>
  </x:sheetData>
  <x:mergeCells>
    <x:mergeCell ref="A1:F1"/>
  </x:mergeCells>
  <x:pageMargins left="0.7" right="0.7" top="0.75" bottom="0.75" header="0.3" footer="0.3"/>
</x:worksheet>
</file>